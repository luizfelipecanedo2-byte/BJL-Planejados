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ster\OneDrive\BJL Planejados\Orçamentos\Orçamentos Planilhas 2025\"/>
    </mc:Choice>
  </mc:AlternateContent>
  <bookViews>
    <workbookView xWindow="-120" yWindow="-120" windowWidth="20730" windowHeight="11160" tabRatio="957"/>
  </bookViews>
  <sheets>
    <sheet name="CADASTRO CLIENTE" sheetId="37" r:id="rId1"/>
    <sheet name="MATERIAIS" sheetId="23" r:id="rId2"/>
    <sheet name="PRODUÇÃO E MONTAGEM" sheetId="38" r:id="rId3"/>
    <sheet name="PREÇO DE VENDA" sheetId="39" r:id="rId4"/>
  </sheets>
  <externalReferences>
    <externalReference r:id="rId5"/>
  </externalReferences>
  <definedNames>
    <definedName name="AGREGADOSECOMPONENTES1COLABORADOR">[1]GERAL!$G$22</definedName>
    <definedName name="CANAL1COLABORADOR">[1]GERAL!$G$14</definedName>
    <definedName name="CANAL2COLABORADORES">[1]GERAL!$G$15</definedName>
    <definedName name="COLADEIRA1COLABORADOR">[1]GERAL!$G$9</definedName>
    <definedName name="COLADEIRA2COLABORADORES">[1]GERAL!$G$10</definedName>
    <definedName name="COLAGEMMANUAL1COLABORADOR">[1]GERAL!$G$11</definedName>
    <definedName name="EMBALAGEM1COLOBORADOR">[1]GERAL!$G$31</definedName>
    <definedName name="EMBALAGEM2COLABORADORES">[1]GERAL!$G$30</definedName>
    <definedName name="F2001COLABORADOR">[1]GERAL!$G$18</definedName>
    <definedName name="F2002COLABORADORES">[1]GERAL!$G$19</definedName>
    <definedName name="HETTICH1COLABORADOR">[1]GERAL!$G$20</definedName>
    <definedName name="HETTICH2COLABORADORES">[1]GERAL!$G$21</definedName>
    <definedName name="LIMPEZAESEPARACAO1COLABORADOR">[1]GERAL!$G$13</definedName>
    <definedName name="LIMPEZAESEPARACAO2COLABORADORES">[1]GERAL!$G$12</definedName>
    <definedName name="MONTAGEMDUPLAMEIOPROFISSIONALAJUDANTE">[1]GERAL!$G$26</definedName>
    <definedName name="MONTAGEMDUPLAPROFISSIONALAJUDANTE">[1]GERAL!$G$25</definedName>
    <definedName name="MONTAGEMEASSISTENCIAPROFISSIONAL">[1]GERAL!$G$35</definedName>
    <definedName name="MONTAGEMEASSISTENCIAPROFISSIONALMEIOOFICIAL">[1]GERAL!$G$33</definedName>
    <definedName name="MONTAGEMEASSISTENCIAPROFISSIONALPROFISSIONAL">[1]GERAL!$G$32</definedName>
    <definedName name="MONTAGEMEASSSISTENCIAPROFISSIONALAJUDANTE">[1]GERAL!$G$34</definedName>
    <definedName name="MONTAGEMEQUIPE3COLABORES">[1]GERAL!$G$23</definedName>
    <definedName name="MONTAGEMINDIVIDUALMEIOOFICIAL">[1]GERAL!$G$28</definedName>
    <definedName name="SECCIONADORA1COLABORADOR">[1]GERAL!$G$4</definedName>
    <definedName name="SECCIONADORA2COLABORADORES">[1]GERAL!$G$3</definedName>
    <definedName name="SEPARACAOECONFERENCIA1COLABORADOR">[1]GERAL!$G$6</definedName>
    <definedName name="SEPARACAOECONFERENCIA2COLABORADORES">[1]GERAL!$G$5</definedName>
    <definedName name="UNIAOEENGROSSO1COLABORADOR">[1]GERAL!$G$8</definedName>
    <definedName name="UNIAOEENGROSSO2COLABORADORES">[1]GERAL!$G$7</definedName>
    <definedName name="USINAGEM1COLABORADOR">[1]GERAL!$G$17</definedName>
    <definedName name="USINAGEM2COLABORADORES">[1]GERAL!$G$16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3" l="1"/>
  <c r="F61" i="23"/>
  <c r="F172" i="23"/>
  <c r="F174" i="23"/>
  <c r="F56" i="23"/>
  <c r="F79" i="23"/>
  <c r="F16" i="23"/>
  <c r="F181" i="23"/>
  <c r="F178" i="23" s="1"/>
  <c r="F179" i="23"/>
  <c r="F180" i="23"/>
  <c r="F182" i="23"/>
  <c r="F183" i="23"/>
  <c r="F184" i="23"/>
  <c r="D5" i="38"/>
  <c r="F161" i="23"/>
  <c r="F160" i="23"/>
  <c r="F36" i="38"/>
  <c r="F34" i="38"/>
  <c r="F33" i="38"/>
  <c r="F29" i="38"/>
  <c r="F28" i="38"/>
  <c r="F27" i="38"/>
  <c r="F21" i="38"/>
  <c r="F23" i="38"/>
  <c r="F24" i="38"/>
  <c r="F25" i="38"/>
  <c r="F207" i="23"/>
  <c r="F206" i="23"/>
  <c r="F202" i="23"/>
  <c r="F203" i="23"/>
  <c r="F201" i="23"/>
  <c r="F198" i="23"/>
  <c r="F197" i="23"/>
  <c r="F196" i="23"/>
  <c r="F192" i="23"/>
  <c r="F188" i="23"/>
  <c r="F187" i="23"/>
  <c r="F189" i="23"/>
  <c r="F186" i="23"/>
  <c r="F173" i="23"/>
  <c r="F169" i="23"/>
  <c r="F168" i="23"/>
  <c r="F132" i="23"/>
  <c r="F165" i="23"/>
  <c r="F163" i="23" s="1"/>
  <c r="F164" i="23"/>
  <c r="F143" i="23"/>
  <c r="F144" i="23"/>
  <c r="F146" i="23"/>
  <c r="F147" i="23"/>
  <c r="F149" i="23"/>
  <c r="F151" i="23"/>
  <c r="F152" i="23"/>
  <c r="F154" i="23"/>
  <c r="F156" i="23"/>
  <c r="F157" i="23"/>
  <c r="F158" i="23"/>
  <c r="F141" i="23"/>
  <c r="F136" i="23"/>
  <c r="F137" i="23"/>
  <c r="F138" i="23"/>
  <c r="F135" i="23"/>
  <c r="F128" i="23"/>
  <c r="F129" i="23"/>
  <c r="F130" i="23"/>
  <c r="F131" i="23"/>
  <c r="F127" i="23"/>
  <c r="F120" i="23"/>
  <c r="F121" i="23"/>
  <c r="F122" i="23"/>
  <c r="F123" i="23"/>
  <c r="F124" i="23"/>
  <c r="F119" i="23"/>
  <c r="F112" i="23"/>
  <c r="F113" i="23"/>
  <c r="F114" i="23"/>
  <c r="F115" i="23"/>
  <c r="F116" i="23"/>
  <c r="F111" i="23"/>
  <c r="F93" i="23"/>
  <c r="F95" i="23"/>
  <c r="F96" i="23"/>
  <c r="F98" i="23"/>
  <c r="F99" i="23"/>
  <c r="F101" i="23"/>
  <c r="F102" i="23"/>
  <c r="F103" i="23"/>
  <c r="F104" i="23"/>
  <c r="F106" i="23"/>
  <c r="F107" i="23"/>
  <c r="F92" i="23"/>
  <c r="F205" i="23"/>
  <c r="G206" i="23" s="1"/>
  <c r="F200" i="23"/>
  <c r="F195" i="23"/>
  <c r="F80" i="23"/>
  <c r="F81" i="23"/>
  <c r="F82" i="23"/>
  <c r="F83" i="23"/>
  <c r="F84" i="23"/>
  <c r="F85" i="23"/>
  <c r="F86" i="23"/>
  <c r="F87" i="23"/>
  <c r="F88" i="23"/>
  <c r="F70" i="23"/>
  <c r="F72" i="23"/>
  <c r="F73" i="23"/>
  <c r="F75" i="23"/>
  <c r="F76" i="23"/>
  <c r="F69" i="23"/>
  <c r="F62" i="23"/>
  <c r="F63" i="23"/>
  <c r="F64" i="23"/>
  <c r="F65" i="23"/>
  <c r="F66" i="23"/>
  <c r="F54" i="23"/>
  <c r="F55" i="23"/>
  <c r="F57" i="23"/>
  <c r="F58" i="23"/>
  <c r="F53" i="23"/>
  <c r="F49" i="23"/>
  <c r="F50" i="23"/>
  <c r="F48" i="23"/>
  <c r="F45" i="23"/>
  <c r="F46" i="23"/>
  <c r="F47" i="23"/>
  <c r="F44" i="23"/>
  <c r="F36" i="23"/>
  <c r="F37" i="23"/>
  <c r="F39" i="23"/>
  <c r="F40" i="23"/>
  <c r="F35" i="23"/>
  <c r="F28" i="23"/>
  <c r="F29" i="23"/>
  <c r="F31" i="23"/>
  <c r="F32" i="23"/>
  <c r="F27" i="23"/>
  <c r="F17" i="23"/>
  <c r="F18" i="23"/>
  <c r="F19" i="23"/>
  <c r="F20" i="23"/>
  <c r="F21" i="23"/>
  <c r="F22" i="23"/>
  <c r="F11" i="23"/>
  <c r="F12" i="23"/>
  <c r="F13" i="23"/>
  <c r="F194" i="23"/>
  <c r="G195" i="23"/>
  <c r="G200" i="23"/>
  <c r="F12" i="38"/>
  <c r="F11" i="38"/>
  <c r="F10" i="38"/>
  <c r="F9" i="38"/>
  <c r="G12" i="38"/>
  <c r="F16" i="38"/>
  <c r="F17" i="38"/>
  <c r="F15" i="38"/>
  <c r="C4" i="23"/>
  <c r="C3" i="38"/>
  <c r="D2" i="39"/>
  <c r="F14" i="38"/>
  <c r="F32" i="38"/>
  <c r="F31" i="38"/>
  <c r="F20" i="38"/>
  <c r="F19" i="38" s="1"/>
  <c r="D20" i="39"/>
  <c r="G15" i="38"/>
  <c r="G16" i="38"/>
  <c r="G17" i="38"/>
  <c r="F39" i="38"/>
  <c r="F40" i="38"/>
  <c r="F38" i="38"/>
  <c r="D23" i="39"/>
  <c r="C7" i="39"/>
  <c r="C6" i="39"/>
  <c r="C50" i="39" s="1"/>
  <c r="C5" i="39"/>
  <c r="C49" i="39" s="1"/>
  <c r="C4" i="39"/>
  <c r="C48" i="39" s="1"/>
  <c r="D46" i="39"/>
  <c r="C3" i="39"/>
  <c r="C14" i="39"/>
  <c r="C29" i="39"/>
  <c r="G5" i="38"/>
  <c r="G4" i="38"/>
  <c r="G3" i="38"/>
  <c r="G2" i="38"/>
  <c r="G1" i="38"/>
  <c r="G39" i="38"/>
  <c r="G40" i="38"/>
  <c r="G3" i="23"/>
  <c r="G5" i="23"/>
  <c r="G4" i="23"/>
  <c r="G2" i="23"/>
  <c r="D19" i="39"/>
  <c r="F167" i="23"/>
  <c r="G168" i="23" s="1"/>
  <c r="G11" i="38"/>
  <c r="G10" i="38"/>
  <c r="G36" i="38"/>
  <c r="G33" i="38"/>
  <c r="D22" i="39"/>
  <c r="G34" i="38"/>
  <c r="G32" i="38"/>
  <c r="G169" i="23" l="1"/>
  <c r="F126" i="23"/>
  <c r="F134" i="23"/>
  <c r="F110" i="23"/>
  <c r="F118" i="23"/>
  <c r="F15" i="23"/>
  <c r="G28" i="38"/>
  <c r="F8" i="38"/>
  <c r="H23" i="38" s="1"/>
  <c r="G20" i="38"/>
  <c r="G25" i="38"/>
  <c r="G27" i="38"/>
  <c r="D21" i="39"/>
  <c r="C34" i="39" s="1"/>
  <c r="G21" i="38"/>
  <c r="G29" i="38"/>
  <c r="G24" i="38"/>
  <c r="G23" i="38"/>
  <c r="G207" i="23"/>
  <c r="F171" i="23"/>
  <c r="G174" i="23" s="1"/>
  <c r="F140" i="23"/>
  <c r="F43" i="23"/>
  <c r="F68" i="23"/>
  <c r="F52" i="23"/>
  <c r="F60" i="23"/>
  <c r="F34" i="23"/>
  <c r="F9" i="23"/>
  <c r="F191" i="23"/>
  <c r="F91" i="23"/>
  <c r="G93" i="23" s="1"/>
  <c r="F78" i="23"/>
  <c r="F26" i="23"/>
  <c r="H31" i="38" l="1"/>
  <c r="H25" i="38"/>
  <c r="H27" i="38"/>
  <c r="H9" i="38"/>
  <c r="H12" i="38"/>
  <c r="H14" i="38"/>
  <c r="H20" i="38"/>
  <c r="H17" i="38"/>
  <c r="H38" i="38"/>
  <c r="H33" i="38"/>
  <c r="H32" i="38"/>
  <c r="H29" i="38"/>
  <c r="H16" i="38"/>
  <c r="H19" i="38"/>
  <c r="H40" i="38"/>
  <c r="H21" i="38"/>
  <c r="G175" i="23"/>
  <c r="G172" i="23"/>
  <c r="F8" i="23"/>
  <c r="G9" i="23" s="1"/>
  <c r="G173" i="23"/>
  <c r="F109" i="23"/>
  <c r="G116" i="23" s="1"/>
  <c r="F25" i="23"/>
  <c r="G40" i="23" s="1"/>
  <c r="H28" i="38"/>
  <c r="H34" i="38"/>
  <c r="H11" i="38"/>
  <c r="H39" i="38"/>
  <c r="H15" i="38"/>
  <c r="H36" i="38"/>
  <c r="H24" i="38"/>
  <c r="H10" i="38"/>
  <c r="F42" i="23"/>
  <c r="G54" i="23" s="1"/>
  <c r="F177" i="23"/>
  <c r="G191" i="23" s="1"/>
  <c r="G103" i="23"/>
  <c r="G98" i="23"/>
  <c r="G104" i="23"/>
  <c r="G92" i="23"/>
  <c r="G101" i="23"/>
  <c r="G99" i="23"/>
  <c r="G95" i="23"/>
  <c r="G106" i="23"/>
  <c r="G102" i="23"/>
  <c r="G96" i="23"/>
  <c r="G107" i="23"/>
  <c r="G28" i="23" l="1"/>
  <c r="G27" i="23"/>
  <c r="G31" i="23"/>
  <c r="G29" i="23"/>
  <c r="G35" i="23"/>
  <c r="G26" i="23"/>
  <c r="G36" i="23"/>
  <c r="G37" i="23"/>
  <c r="G34" i="23"/>
  <c r="G10" i="23"/>
  <c r="G20" i="23"/>
  <c r="G11" i="23"/>
  <c r="G18" i="23"/>
  <c r="G16" i="23"/>
  <c r="G13" i="23"/>
  <c r="G15" i="23"/>
  <c r="G17" i="23"/>
  <c r="G21" i="23"/>
  <c r="G12" i="23"/>
  <c r="G22" i="23"/>
  <c r="G32" i="23"/>
  <c r="G62" i="23"/>
  <c r="G47" i="23"/>
  <c r="G58" i="23"/>
  <c r="G65" i="23"/>
  <c r="G57" i="23"/>
  <c r="G80" i="23"/>
  <c r="G56" i="23"/>
  <c r="G79" i="23"/>
  <c r="G76" i="23"/>
  <c r="G70" i="23"/>
  <c r="G55" i="23"/>
  <c r="G53" i="23"/>
  <c r="G72" i="23"/>
  <c r="G78" i="23"/>
  <c r="G128" i="23"/>
  <c r="G144" i="23"/>
  <c r="G161" i="23"/>
  <c r="G114" i="23"/>
  <c r="G131" i="23"/>
  <c r="G154" i="23"/>
  <c r="G156" i="23"/>
  <c r="G147" i="23"/>
  <c r="G132" i="23"/>
  <c r="G149" i="23"/>
  <c r="G124" i="23"/>
  <c r="G135" i="23"/>
  <c r="G120" i="23"/>
  <c r="G115" i="23"/>
  <c r="G122" i="23"/>
  <c r="G118" i="23"/>
  <c r="G127" i="23"/>
  <c r="G152" i="23"/>
  <c r="G143" i="23"/>
  <c r="G146" i="23"/>
  <c r="G141" i="23"/>
  <c r="G121" i="23"/>
  <c r="G129" i="23"/>
  <c r="G136" i="23"/>
  <c r="G110" i="23"/>
  <c r="G140" i="23"/>
  <c r="G151" i="23"/>
  <c r="G164" i="23"/>
  <c r="G165" i="23"/>
  <c r="G112" i="23"/>
  <c r="G158" i="23"/>
  <c r="G134" i="23"/>
  <c r="G138" i="23"/>
  <c r="G160" i="23"/>
  <c r="G163" i="23"/>
  <c r="G157" i="23"/>
  <c r="G119" i="23"/>
  <c r="G130" i="23"/>
  <c r="G19" i="23"/>
  <c r="G73" i="23"/>
  <c r="G69" i="23"/>
  <c r="G75" i="23"/>
  <c r="G63" i="23"/>
  <c r="G60" i="23"/>
  <c r="G87" i="23"/>
  <c r="G44" i="23"/>
  <c r="G86" i="23"/>
  <c r="G52" i="23"/>
  <c r="G43" i="23"/>
  <c r="G83" i="23"/>
  <c r="G49" i="23"/>
  <c r="G66" i="23"/>
  <c r="G85" i="23"/>
  <c r="G88" i="23"/>
  <c r="G84" i="23"/>
  <c r="G61" i="23"/>
  <c r="G82" i="23"/>
  <c r="G111" i="23"/>
  <c r="G113" i="23"/>
  <c r="G126" i="23"/>
  <c r="F7" i="23"/>
  <c r="H161" i="23" s="1"/>
  <c r="G137" i="23"/>
  <c r="G123" i="23"/>
  <c r="G39" i="23"/>
  <c r="G68" i="23"/>
  <c r="G48" i="23"/>
  <c r="G45" i="23"/>
  <c r="G50" i="23"/>
  <c r="G46" i="23"/>
  <c r="G81" i="23"/>
  <c r="G64" i="23"/>
  <c r="G183" i="23"/>
  <c r="G188" i="23"/>
  <c r="G179" i="23"/>
  <c r="G201" i="23"/>
  <c r="G187" i="23"/>
  <c r="G198" i="23"/>
  <c r="G182" i="23"/>
  <c r="G203" i="23"/>
  <c r="G196" i="23"/>
  <c r="G184" i="23"/>
  <c r="G181" i="23"/>
  <c r="G197" i="23"/>
  <c r="G186" i="23"/>
  <c r="G180" i="23"/>
  <c r="G192" i="23"/>
  <c r="G189" i="23"/>
  <c r="G202" i="23"/>
  <c r="G178" i="23"/>
  <c r="H11" i="23" l="1"/>
  <c r="XDI11" i="23" s="1"/>
  <c r="H58" i="23"/>
  <c r="H75" i="23"/>
  <c r="H131" i="23"/>
  <c r="H144" i="23"/>
  <c r="D18" i="39"/>
  <c r="C33" i="39" s="1"/>
  <c r="D40" i="39" s="1"/>
  <c r="H68" i="23"/>
  <c r="H18" i="23"/>
  <c r="H99" i="23"/>
  <c r="H34" i="23"/>
  <c r="H136" i="23"/>
  <c r="H49" i="23"/>
  <c r="H151" i="23"/>
  <c r="H200" i="23"/>
  <c r="H13" i="23"/>
  <c r="XDI13" i="23" s="1"/>
  <c r="H180" i="23"/>
  <c r="H28" i="23"/>
  <c r="H198" i="23"/>
  <c r="H54" i="23"/>
  <c r="H32" i="23"/>
  <c r="H8" i="23"/>
  <c r="H121" i="23"/>
  <c r="H143" i="23"/>
  <c r="H86" i="23"/>
  <c r="H36" i="23"/>
  <c r="H157" i="23"/>
  <c r="H61" i="23"/>
  <c r="H43" i="23"/>
  <c r="H102" i="23"/>
  <c r="H182" i="23"/>
  <c r="H123" i="23"/>
  <c r="H112" i="23"/>
  <c r="H15" i="23"/>
  <c r="H66" i="23"/>
  <c r="H83" i="23"/>
  <c r="H17" i="23"/>
  <c r="H181" i="23"/>
  <c r="H47" i="23"/>
  <c r="H40" i="23"/>
  <c r="H179" i="23"/>
  <c r="H79" i="23"/>
  <c r="H195" i="23"/>
  <c r="H109" i="23"/>
  <c r="H119" i="23"/>
  <c r="H84" i="23"/>
  <c r="H29" i="23"/>
  <c r="H154" i="23"/>
  <c r="H42" i="23"/>
  <c r="H173" i="23"/>
  <c r="H177" i="23"/>
  <c r="H25" i="23"/>
  <c r="H106" i="23"/>
  <c r="H76" i="23"/>
  <c r="H12" i="23"/>
  <c r="XDI12" i="23" s="1"/>
  <c r="H19" i="23"/>
  <c r="H39" i="23"/>
  <c r="H53" i="23"/>
  <c r="H72" i="23"/>
  <c r="H26" i="23"/>
  <c r="H27" i="23"/>
  <c r="H149" i="23"/>
  <c r="H135" i="23"/>
  <c r="H110" i="23"/>
  <c r="H87" i="23"/>
  <c r="H203" i="23"/>
  <c r="H16" i="23"/>
  <c r="H81" i="23"/>
  <c r="H141" i="23"/>
  <c r="H80" i="23"/>
  <c r="H184" i="23"/>
  <c r="H156" i="23"/>
  <c r="H189" i="23"/>
  <c r="H9" i="23"/>
  <c r="H93" i="23"/>
  <c r="H45" i="23"/>
  <c r="H126" i="23"/>
  <c r="H50" i="23"/>
  <c r="H168" i="23"/>
  <c r="H96" i="23"/>
  <c r="H22" i="23"/>
  <c r="H69" i="23"/>
  <c r="H120" i="23"/>
  <c r="H57" i="23"/>
  <c r="H37" i="23"/>
  <c r="H192" i="23"/>
  <c r="H183" i="23"/>
  <c r="H10" i="23"/>
  <c r="XDI10" i="23" s="1"/>
  <c r="H137" i="23"/>
  <c r="H35" i="23"/>
  <c r="H62" i="23"/>
  <c r="H187" i="23"/>
  <c r="H111" i="23"/>
  <c r="H78" i="23"/>
  <c r="H164" i="23"/>
  <c r="H169" i="23"/>
  <c r="H158" i="23"/>
  <c r="H160" i="23"/>
  <c r="H146" i="23"/>
  <c r="H165" i="23"/>
  <c r="H20" i="23"/>
  <c r="H63" i="23"/>
  <c r="H46" i="23"/>
  <c r="H167" i="23"/>
  <c r="H171" i="23"/>
  <c r="H116" i="23"/>
  <c r="H130" i="23"/>
  <c r="H101" i="23"/>
  <c r="H206" i="23"/>
  <c r="H64" i="23"/>
  <c r="H88" i="23"/>
  <c r="H82" i="23"/>
  <c r="H172" i="23"/>
  <c r="H132" i="23"/>
  <c r="H104" i="23"/>
  <c r="H95" i="23"/>
  <c r="H163" i="23"/>
  <c r="H122" i="23"/>
  <c r="H98" i="23"/>
  <c r="H174" i="23"/>
  <c r="H138" i="23"/>
  <c r="H91" i="23"/>
  <c r="H128" i="23"/>
  <c r="H31" i="23"/>
  <c r="H48" i="23"/>
  <c r="H134" i="23"/>
  <c r="H73" i="23"/>
  <c r="H70" i="23"/>
  <c r="H60" i="23"/>
  <c r="H207" i="23"/>
  <c r="H124" i="23"/>
  <c r="H201" i="23"/>
  <c r="H147" i="23"/>
  <c r="H197" i="23"/>
  <c r="H127" i="23"/>
  <c r="H129" i="23"/>
  <c r="H205" i="23"/>
  <c r="H114" i="23"/>
  <c r="H85" i="23"/>
  <c r="H103" i="23"/>
  <c r="H175" i="23"/>
  <c r="H115" i="23"/>
  <c r="H55" i="23"/>
  <c r="H188" i="23"/>
  <c r="H56" i="23"/>
  <c r="H186" i="23"/>
  <c r="H44" i="23"/>
  <c r="H196" i="23"/>
  <c r="H202" i="23"/>
  <c r="H113" i="23"/>
  <c r="H152" i="23"/>
  <c r="H92" i="23"/>
  <c r="H21" i="23"/>
  <c r="H52" i="23"/>
  <c r="H65" i="23"/>
  <c r="H194" i="23"/>
  <c r="H191" i="23"/>
  <c r="H178" i="23"/>
  <c r="H107" i="23"/>
  <c r="H140" i="23"/>
  <c r="H118" i="23"/>
  <c r="D24" i="39" l="1"/>
  <c r="D26" i="39" s="1"/>
  <c r="C20" i="39" s="1"/>
  <c r="C18" i="39" l="1"/>
  <c r="C25" i="39"/>
  <c r="C21" i="39"/>
  <c r="C22" i="39"/>
  <c r="C19" i="39"/>
  <c r="C31" i="39"/>
  <c r="D41" i="39" s="1"/>
  <c r="C24" i="39"/>
  <c r="C23" i="39"/>
  <c r="D33" i="39" l="1"/>
  <c r="D34" i="39"/>
  <c r="D39" i="39"/>
  <c r="D15" i="39"/>
  <c r="C36" i="39" s="1"/>
  <c r="D36" i="39" s="1"/>
  <c r="D10" i="39"/>
  <c r="C32" i="39" s="1"/>
  <c r="D32" i="39" s="1"/>
  <c r="D13" i="39"/>
  <c r="D53" i="39"/>
  <c r="G53" i="39" s="1"/>
  <c r="D12" i="39"/>
  <c r="C39" i="39"/>
  <c r="D11" i="39"/>
  <c r="F53" i="39" l="1"/>
  <c r="C35" i="39"/>
  <c r="D35" i="39" s="1"/>
  <c r="D54" i="39"/>
  <c r="G3" i="39" s="1"/>
  <c r="G4" i="39" s="1"/>
  <c r="D14" i="39"/>
  <c r="G61" i="39" l="1"/>
  <c r="H6" i="39" s="1"/>
  <c r="G60" i="39"/>
  <c r="D60" i="39" s="1"/>
  <c r="F54" i="39"/>
  <c r="G54" i="39" s="1"/>
  <c r="G62" i="39"/>
  <c r="D62" i="39" s="1"/>
  <c r="G59" i="39"/>
  <c r="D59" i="39" s="1"/>
  <c r="G63" i="39"/>
  <c r="H7" i="39" s="1"/>
  <c r="G66" i="39"/>
  <c r="D66" i="39" s="1"/>
  <c r="G65" i="39"/>
  <c r="D65" i="39" s="1"/>
  <c r="G8" i="39" s="1"/>
  <c r="G58" i="39"/>
  <c r="D58" i="39" s="1"/>
  <c r="G5" i="39" s="1"/>
  <c r="G64" i="39"/>
  <c r="D64" i="39" s="1"/>
  <c r="G67" i="39"/>
  <c r="D67" i="39" s="1"/>
  <c r="D61" i="39" l="1"/>
  <c r="G6" i="39" s="1"/>
  <c r="H8" i="39"/>
  <c r="D63" i="39"/>
  <c r="G7" i="39" s="1"/>
  <c r="H5" i="39"/>
</calcChain>
</file>

<file path=xl/sharedStrings.xml><?xml version="1.0" encoding="utf-8"?>
<sst xmlns="http://schemas.openxmlformats.org/spreadsheetml/2006/main" count="458" uniqueCount="285">
  <si>
    <t>Cavilha</t>
  </si>
  <si>
    <t>FITA DE BORDA</t>
  </si>
  <si>
    <t>SUPRIMENTOS P/ PRODUÇÃO</t>
  </si>
  <si>
    <t>ACESSÓRIOS</t>
  </si>
  <si>
    <t>FERRAGENS</t>
  </si>
  <si>
    <t xml:space="preserve">          TANDEM BOX</t>
  </si>
  <si>
    <t>PUXADORES</t>
  </si>
  <si>
    <t>OUTROS</t>
  </si>
  <si>
    <t>TOTAL</t>
  </si>
  <si>
    <t>FRETE</t>
  </si>
  <si>
    <t>PINTURA</t>
  </si>
  <si>
    <t>Fita de Borda Branco Tx 22 (Metros) - 1,00mm</t>
  </si>
  <si>
    <t>CHAPAS DE MDF</t>
  </si>
  <si>
    <t>% POR CATEGORIA</t>
  </si>
  <si>
    <t>% GLOBAL</t>
  </si>
  <si>
    <t>CHAPA</t>
  </si>
  <si>
    <t>UNIDADE</t>
  </si>
  <si>
    <t>VB (Pino + VB 19mm)</t>
  </si>
  <si>
    <t>ELEMENTOS DE FIXAÇÃO E UNIÃO</t>
  </si>
  <si>
    <t>Parafuso</t>
  </si>
  <si>
    <t>Kit Fixação (BUCHA + PARAFUSO + TAMPINHA = 4 CONJUNTOS)</t>
  </si>
  <si>
    <t>Tapa Furo Branco 13mm (Cartela c. 50unidades)</t>
  </si>
  <si>
    <t>Tapa Furo Amadeirado 13mm (Cartela)</t>
  </si>
  <si>
    <t>Gota  de Silicone Pequena (Unidade)</t>
  </si>
  <si>
    <t>Gota  de Silicone Grande (Unidade)</t>
  </si>
  <si>
    <t>RODÍZIOS E PÉS</t>
  </si>
  <si>
    <t>Pé de Geladeira (Pequeno)</t>
  </si>
  <si>
    <t>Pé de Geladeira (Grande)</t>
  </si>
  <si>
    <t>Pés de Plásticos (Pequeno - 150mm)</t>
  </si>
  <si>
    <t xml:space="preserve"> ADESIVOS E SILICONES</t>
  </si>
  <si>
    <t>Silicone à base Água</t>
  </si>
  <si>
    <t>Silicone Incolor / Branco Acético</t>
  </si>
  <si>
    <t>Fixa Espelho</t>
  </si>
  <si>
    <t>PL 500</t>
  </si>
  <si>
    <t>PL 600</t>
  </si>
  <si>
    <t>Kleiberit</t>
  </si>
  <si>
    <t>SS200 TOP - 2 FOLHAS</t>
  </si>
  <si>
    <t>PISTÃO A GÁS NORMAL</t>
  </si>
  <si>
    <t>PISTÃO A GÁS INVERSO</t>
  </si>
  <si>
    <t>Estopa (1Kg)</t>
  </si>
  <si>
    <t>Rodízio Diam. 50mm c/ Freio (Altura Final 65mm)</t>
  </si>
  <si>
    <t>Rodízio Diam. 50mm s/ Freio (Altura Final 65mm)</t>
  </si>
  <si>
    <t>LEVANTAMENTO DE MATERIAIS</t>
  </si>
  <si>
    <t>CLIENTE:</t>
  </si>
  <si>
    <t>AMBIENTE:</t>
  </si>
  <si>
    <t>DATA:</t>
  </si>
  <si>
    <t>QUANTIDADE</t>
  </si>
  <si>
    <t>PRODUTO:</t>
  </si>
  <si>
    <t xml:space="preserve">CUSTO                   X        QUANTIDADE </t>
  </si>
  <si>
    <t>PRODUTO / MATERIAL</t>
  </si>
  <si>
    <t>VIDROS E ESPELHOS</t>
  </si>
  <si>
    <t>VIDROS DECORAÇÃO</t>
  </si>
  <si>
    <t>ESPELHOS</t>
  </si>
  <si>
    <t>DESEMPENADOR DP 105 (ROMETAL) - SOBREPOR ESTÉTICO</t>
  </si>
  <si>
    <t>TERCERIZAÇÕES</t>
  </si>
  <si>
    <t>COMPLEMENTOS</t>
  </si>
  <si>
    <t>CADASTRO DO CLIENTE</t>
  </si>
  <si>
    <t>EMPREENDIMENTO:</t>
  </si>
  <si>
    <t>ATUALIZAÇÃO DA PLANILHA:</t>
  </si>
  <si>
    <t xml:space="preserve"> </t>
  </si>
  <si>
    <t>MDF Unicolor TX 15mm</t>
  </si>
  <si>
    <t>MDF Unicolor Tx 18mm</t>
  </si>
  <si>
    <t>BRANCO - MDF</t>
  </si>
  <si>
    <t xml:space="preserve"> BRANCA - FITA DE BORDA 0,45mm</t>
  </si>
  <si>
    <t>Fita de Borda Branco Tx 22mm(Metros) - 0,45mm</t>
  </si>
  <si>
    <t>Fita de Borda Branco Tx 29mm (Metros) - 0,45mm</t>
  </si>
  <si>
    <t>Fita de Borda Branco Tx 35mm (Metros) - 0,45mm</t>
  </si>
  <si>
    <t>PORTAS DE ALUMÍNIO</t>
  </si>
  <si>
    <t>M² LACCA FOSCA</t>
  </si>
  <si>
    <t>M² LACCA BRILHANTE</t>
  </si>
  <si>
    <t xml:space="preserve">     OUTROS</t>
  </si>
  <si>
    <t>ACABAMENTOS ( TAPA FURO E GOTAS DE SILICONE)</t>
  </si>
  <si>
    <t>METRO</t>
  </si>
  <si>
    <t>CONJUNTO</t>
  </si>
  <si>
    <t>KIT</t>
  </si>
  <si>
    <t>CARTELA</t>
  </si>
  <si>
    <t>BALDINHO</t>
  </si>
  <si>
    <t>BARRA</t>
  </si>
  <si>
    <t>PAR</t>
  </si>
  <si>
    <t>ROLO</t>
  </si>
  <si>
    <t>VIAGEM</t>
  </si>
  <si>
    <t>M²</t>
  </si>
  <si>
    <r>
      <t xml:space="preserve">Trilho SS 150 - </t>
    </r>
    <r>
      <rPr>
        <b/>
        <sz val="11"/>
        <rFont val="Calibri"/>
        <family val="2"/>
        <scheme val="minor"/>
      </rPr>
      <t xml:space="preserve">6 METROS </t>
    </r>
    <r>
      <rPr>
        <sz val="11"/>
        <rFont val="Calibri"/>
        <family val="2"/>
        <scheme val="minor"/>
      </rPr>
      <t>- TRILHO. SUPERIOR RM-065 + INFERIOR RM-64  (BARRA 6M)</t>
    </r>
  </si>
  <si>
    <r>
      <t>Trilho SS 200  -</t>
    </r>
    <r>
      <rPr>
        <b/>
        <sz val="11"/>
        <rFont val="Calibri"/>
        <family val="2"/>
        <scheme val="minor"/>
      </rPr>
      <t xml:space="preserve"> 6 METROS</t>
    </r>
    <r>
      <rPr>
        <sz val="11"/>
        <rFont val="Calibri"/>
        <family val="2"/>
        <scheme val="minor"/>
      </rPr>
      <t xml:space="preserve"> - TRILHO. SUPERIOR RM-007 + INFERIOR RM-006  (BARRA 6M)</t>
    </r>
  </si>
  <si>
    <t>CUSTO FINAL DOS MATERIAIS</t>
  </si>
  <si>
    <t>PORTA DE CORRER</t>
  </si>
  <si>
    <t>PORTA DE ABRIR</t>
  </si>
  <si>
    <t>PORTA DE PASSAGEM</t>
  </si>
  <si>
    <t>OUTRO TIPO DE PINTURA</t>
  </si>
  <si>
    <t>ROLO 20M</t>
  </si>
  <si>
    <t>CARTELA - 50 UNID</t>
  </si>
  <si>
    <t>Passa Fio (Branco, Cinza ou Preto)</t>
  </si>
  <si>
    <t>Cantoneira 3 Furos Níquelada + Capa Plástica (Unidade)</t>
  </si>
  <si>
    <t>Cantoneira 3 Furos Dourada + Capa Plástica (Unidade)</t>
  </si>
  <si>
    <t>Pés de Plásticos (Grande - 200mm)</t>
  </si>
  <si>
    <t>SS150 + 2 FOLHAS</t>
  </si>
  <si>
    <t>SS150 + 3 FOLHAS (1 EXTERNA)</t>
  </si>
  <si>
    <t>SS200 TOP - 3 FOLHAS (1 EXTERNA)</t>
  </si>
  <si>
    <r>
      <t xml:space="preserve">Trilho RO47 (Barra) CONJ. SUP  - </t>
    </r>
    <r>
      <rPr>
        <b/>
        <sz val="11"/>
        <color theme="1"/>
        <rFont val="Calibri"/>
        <family val="2"/>
        <scheme val="minor"/>
      </rPr>
      <t>NMV021</t>
    </r>
    <r>
      <rPr>
        <sz val="11"/>
        <color theme="1"/>
        <rFont val="Calibri"/>
        <family val="2"/>
        <scheme val="minor"/>
      </rPr>
      <t xml:space="preserve"> + INF - </t>
    </r>
    <r>
      <rPr>
        <b/>
        <sz val="11"/>
        <color theme="1"/>
        <rFont val="Calibri"/>
        <family val="2"/>
        <scheme val="minor"/>
      </rPr>
      <t>NMV022</t>
    </r>
    <r>
      <rPr>
        <sz val="11"/>
        <color theme="1"/>
        <rFont val="Calibri"/>
        <family val="2"/>
        <scheme val="minor"/>
      </rPr>
      <t xml:space="preserve"> (BARRA 6M) - </t>
    </r>
    <r>
      <rPr>
        <b/>
        <sz val="11"/>
        <color theme="1"/>
        <rFont val="Calibri"/>
        <family val="2"/>
        <scheme val="minor"/>
      </rPr>
      <t>PORTAS DE MDF</t>
    </r>
  </si>
  <si>
    <r>
      <t>Trilho RO47 (Barra) CONJ. SUP -</t>
    </r>
    <r>
      <rPr>
        <b/>
        <sz val="11"/>
        <color theme="1"/>
        <rFont val="Calibri"/>
        <family val="2"/>
        <scheme val="minor"/>
      </rPr>
      <t>NMV014</t>
    </r>
    <r>
      <rPr>
        <sz val="11"/>
        <color theme="1"/>
        <rFont val="Calibri"/>
        <family val="2"/>
        <scheme val="minor"/>
      </rPr>
      <t xml:space="preserve"> + INF- </t>
    </r>
    <r>
      <rPr>
        <b/>
        <sz val="11"/>
        <color theme="1"/>
        <rFont val="Calibri"/>
        <family val="2"/>
        <scheme val="minor"/>
      </rPr>
      <t>NMV020</t>
    </r>
    <r>
      <rPr>
        <sz val="11"/>
        <color theme="1"/>
        <rFont val="Calibri"/>
        <family val="2"/>
        <scheme val="minor"/>
      </rPr>
      <t xml:space="preserve"> (BARRA 6M) - </t>
    </r>
    <r>
      <rPr>
        <b/>
        <sz val="11"/>
        <color theme="1"/>
        <rFont val="Calibri"/>
        <family val="2"/>
        <scheme val="minor"/>
      </rPr>
      <t xml:space="preserve"> PORTAS DE  PERFIL DE ALUMÍNIO</t>
    </r>
  </si>
  <si>
    <t>Suporte de Prateleira Invisível 150mm</t>
  </si>
  <si>
    <t>MDF Unicolor TX 06mm</t>
  </si>
  <si>
    <t>FRETE (1 VIAGEM)</t>
  </si>
  <si>
    <t>PRODUÇÃO EMPRESA</t>
  </si>
  <si>
    <t>DIAS</t>
  </si>
  <si>
    <t>MONTAGEM CASA DO CLIENTE</t>
  </si>
  <si>
    <t>CONSIDERAR Nº DE DIAS UTÉIS NO MÊS:</t>
  </si>
  <si>
    <t xml:space="preserve">PLANILHA DE FORMAÇÃO DE PREÇO DE VENDA </t>
  </si>
  <si>
    <t>PREÇO DE VENDA P/ ORÇAMENTO</t>
  </si>
  <si>
    <t>FORMA DE PAGAMEN.</t>
  </si>
  <si>
    <t>VALOR</t>
  </si>
  <si>
    <t>PARCELA</t>
  </si>
  <si>
    <t>À VISTA</t>
  </si>
  <si>
    <t>À PRAZO 10%</t>
  </si>
  <si>
    <t>3X</t>
  </si>
  <si>
    <t>6X</t>
  </si>
  <si>
    <t>8X</t>
  </si>
  <si>
    <t>PARÂMETROS DA EMPRESA</t>
  </si>
  <si>
    <t>10X</t>
  </si>
  <si>
    <t>IMPOSTOS</t>
  </si>
  <si>
    <t>SUPER SIMPLES</t>
  </si>
  <si>
    <t>COMISSÕES</t>
  </si>
  <si>
    <t>PREÇO DE VENDA</t>
  </si>
  <si>
    <t>IMPOSTO</t>
  </si>
  <si>
    <t>CUSTOS VARIÁVEIS TOTAIS</t>
  </si>
  <si>
    <t>CUSTO DO MATERIAL</t>
  </si>
  <si>
    <t>LUCRATIVIDADE</t>
  </si>
  <si>
    <t>PARÂMETROS DE CUSTO DO PRODUTO</t>
  </si>
  <si>
    <t>CUSTO DO  MATERIAL</t>
  </si>
  <si>
    <t>CUSTO DE PRODUÇÃO</t>
  </si>
  <si>
    <t>CUSTO DE MONTAGEM</t>
  </si>
  <si>
    <t>CUSTO DO PRODUTO</t>
  </si>
  <si>
    <t>OUTROS:</t>
  </si>
  <si>
    <t>CÁLCULO DOS CUSTOS : TOTAL</t>
  </si>
  <si>
    <t>CÁLCULO PREÇO DE VENDA</t>
  </si>
  <si>
    <t>MARK - UP</t>
  </si>
  <si>
    <t>CUSTO DO PRODUÇÃO E MONTAGEM</t>
  </si>
  <si>
    <t>CUSTO MAT. + PROCESSO + IMPOSTO</t>
  </si>
  <si>
    <t>%</t>
  </si>
  <si>
    <t>PREÇO DE VENDA X RELAÇÃO COM MATERIAL</t>
  </si>
  <si>
    <t>PREÇO DE VENDA/MATERIAL :</t>
  </si>
  <si>
    <t>ESTUDO  MULTIPLICADOR  X MATERIAL:</t>
  </si>
  <si>
    <t>DIFERENÇA  PREÇO DE  VENDA E INDICADO:</t>
  </si>
  <si>
    <t>TABELA VENDA À VISTA</t>
  </si>
  <si>
    <t>Valor da Entrada</t>
  </si>
  <si>
    <t>Valor da Entrega</t>
  </si>
  <si>
    <t>PREÇO DE VENDA - FINAL</t>
  </si>
  <si>
    <t>PREÇO DE VENDA - COM 3,33% DESCONTO</t>
  </si>
  <si>
    <t>TABELA VENDA A PRAZO</t>
  </si>
  <si>
    <t>MULTIPLI.</t>
  </si>
  <si>
    <t>VALOR TOTAL</t>
  </si>
  <si>
    <t>VALOR PARCELA</t>
  </si>
  <si>
    <t>Nº DE PARCELAS</t>
  </si>
  <si>
    <t xml:space="preserve">Final </t>
  </si>
  <si>
    <t>PREÇO DE VENDA  3X</t>
  </si>
  <si>
    <t>PREÇO DE VENDA  4X</t>
  </si>
  <si>
    <t>PREÇO DE VENDA  5X</t>
  </si>
  <si>
    <t>PREÇO DE VENDA  6X</t>
  </si>
  <si>
    <t>PREÇO DE VENDA  7X</t>
  </si>
  <si>
    <t>PREÇO DE VENDA  8X</t>
  </si>
  <si>
    <t>PREÇO DE VENDA  9X</t>
  </si>
  <si>
    <t>PREÇO DE VENDA  10X</t>
  </si>
  <si>
    <t>PREÇO DE VENDA  11X</t>
  </si>
  <si>
    <t>PREÇO DE VENDA  12X</t>
  </si>
  <si>
    <t>Tapa Furo Branco 19mm (Cartela c. 25unidades)</t>
  </si>
  <si>
    <t>CARTELA - 25 UNID</t>
  </si>
  <si>
    <t>HORAS</t>
  </si>
  <si>
    <t>CUSTOS</t>
  </si>
  <si>
    <t>CARREGAMENTO E ORGANIZAÇÃO</t>
  </si>
  <si>
    <t>CUSTO FIXO - ESTIMADO</t>
  </si>
  <si>
    <t>REGULAGENS + ASSISTÊNCIA TÉCNICA</t>
  </si>
  <si>
    <t>Nº DE VEZES</t>
  </si>
  <si>
    <t>ASSISTÊNCIA TÉCNICA  (MÉDIA 1,5 HORA DE SERVIÇO) + DESLOCAMENTO (1 HORA)</t>
  </si>
  <si>
    <t>REGULAGENS DE PORTAS  (MÉDIA 1 HORA DE SERVIÇO) + DESLOCAMENTO (1 HORA)</t>
  </si>
  <si>
    <t>Fita de Borda Amadeirado 22mm (Rolo) - 0,45mm</t>
  </si>
  <si>
    <t>Fita de Borda Amadeirado 64mm (Rolo) - 0,45mm</t>
  </si>
  <si>
    <t>VB (Pino + VB 19mm BRANCO/ PRETO) - DUPLO</t>
  </si>
  <si>
    <t>Selante Acrilico à base Água</t>
  </si>
  <si>
    <t>DESEMPENADOR DP -100 (ROMETAL) EMBUTIR = 2355mm</t>
  </si>
  <si>
    <t>DESEMPENADOR DP -101 (ROMETAL) EMBUTIR = 1990mm</t>
  </si>
  <si>
    <t>AJUSTE DE PROJETO</t>
  </si>
  <si>
    <t>MEDIDAS IN LOCCO</t>
  </si>
  <si>
    <t>AJUSTE DE PROJETO (MODELAGEM)</t>
  </si>
  <si>
    <t>AJUSTE DE PROJETO (PRODUÇÃO)</t>
  </si>
  <si>
    <t>CUSTO CARREGAMENTO E ORGANIZAÇÃO</t>
  </si>
  <si>
    <t>CUSTO ASSISTÊNCIA TÉCNICA</t>
  </si>
  <si>
    <t>Fita de Borda Amadeirado Tx 22 (ROLO - 25 METROS) - 1,00 mm</t>
  </si>
  <si>
    <t>ROLO 25M</t>
  </si>
  <si>
    <r>
      <t xml:space="preserve">PERFIL RM085 - </t>
    </r>
    <r>
      <rPr>
        <b/>
        <sz val="11"/>
        <color theme="1"/>
        <rFont val="Calibri"/>
        <family val="2"/>
        <scheme val="minor"/>
      </rPr>
      <t>PORTAS DE ABRIR</t>
    </r>
    <r>
      <rPr>
        <sz val="11"/>
        <color theme="1"/>
        <rFont val="Calibri"/>
        <family val="2"/>
        <scheme val="minor"/>
      </rPr>
      <t xml:space="preserve">  - RM085 ROMETAL  - </t>
    </r>
    <r>
      <rPr>
        <b/>
        <sz val="11"/>
        <color theme="1"/>
        <rFont val="Calibri"/>
        <family val="2"/>
        <scheme val="minor"/>
      </rPr>
      <t>INOX                - 6 METROS</t>
    </r>
  </si>
  <si>
    <r>
      <t xml:space="preserve">PERFIL RM183 -  PERFIL FACETATO </t>
    </r>
    <r>
      <rPr>
        <b/>
        <sz val="11"/>
        <color theme="1"/>
        <rFont val="Calibri"/>
        <family val="2"/>
        <scheme val="minor"/>
      </rPr>
      <t>- INOX - 6 METROS</t>
    </r>
  </si>
  <si>
    <r>
      <t xml:space="preserve">PERFIL RM183 -  PONTEIRA CROMADA </t>
    </r>
    <r>
      <rPr>
        <b/>
        <sz val="11"/>
        <color theme="1"/>
        <rFont val="Calibri"/>
        <family val="2"/>
        <scheme val="minor"/>
      </rPr>
      <t>- INOX - 6 METROS</t>
    </r>
  </si>
  <si>
    <r>
      <t xml:space="preserve">PONTEIRAS PARA PERFIL RM 175/190 - </t>
    </r>
    <r>
      <rPr>
        <b/>
        <sz val="11"/>
        <color theme="1"/>
        <rFont val="Calibri"/>
        <family val="2"/>
        <scheme val="minor"/>
      </rPr>
      <t xml:space="preserve">PONTEIRA INOX </t>
    </r>
    <r>
      <rPr>
        <sz val="11"/>
        <color theme="1"/>
        <rFont val="Calibri"/>
        <family val="2"/>
        <scheme val="minor"/>
      </rPr>
      <t>- 6 Metros (INOX)</t>
    </r>
  </si>
  <si>
    <r>
      <t xml:space="preserve">PONTEIRAS PARA PERFIL RM 176/189 - </t>
    </r>
    <r>
      <rPr>
        <b/>
        <sz val="11"/>
        <color theme="1"/>
        <rFont val="Calibri"/>
        <family val="2"/>
        <scheme val="minor"/>
      </rPr>
      <t xml:space="preserve">PONTEIRA INOX </t>
    </r>
    <r>
      <rPr>
        <sz val="11"/>
        <color theme="1"/>
        <rFont val="Calibri"/>
        <family val="2"/>
        <scheme val="minor"/>
      </rPr>
      <t>- 6 Metros (INOX)</t>
    </r>
  </si>
  <si>
    <t xml:space="preserve">    SISTEMAS DE CORRER</t>
  </si>
  <si>
    <t>CANTONEIRAS PLÁSTICAS</t>
  </si>
  <si>
    <t>SERRALHERIA</t>
  </si>
  <si>
    <t>SERVIÇO DE SERRALHEIRA</t>
  </si>
  <si>
    <t xml:space="preserve">MDF Branco Tx 18mm </t>
  </si>
  <si>
    <t xml:space="preserve">MDF Branco TX 15mm </t>
  </si>
  <si>
    <t>MDF Branco Tx 06mm</t>
  </si>
  <si>
    <t>UNICOLORES e AMADEIRADO - MDF</t>
  </si>
  <si>
    <t>MDF Amadeirado 06mm</t>
  </si>
  <si>
    <t>MDF Amadeirado 15mm</t>
  </si>
  <si>
    <t>MDF Amadeirado 18mm</t>
  </si>
  <si>
    <t>MDF Amadeirado 25mm</t>
  </si>
  <si>
    <t>Fita de Borda Branco Tx 35 (Metros) - 1,00mm</t>
  </si>
  <si>
    <t>AMADEIRADO - FITA DE BORDA 1,00mm</t>
  </si>
  <si>
    <t>Fita de Borda Amadeirado Tx 35 (ROLO - 25 METROS) - 1,00 mm</t>
  </si>
  <si>
    <t>Cantoneira Cromada 2 Furos</t>
  </si>
  <si>
    <t>Pino de Plástico</t>
  </si>
  <si>
    <t>Pino Cromado</t>
  </si>
  <si>
    <r>
      <t>TELESCÓPICA</t>
    </r>
    <r>
      <rPr>
        <b/>
        <sz val="11"/>
        <color theme="1"/>
        <rFont val="Calibri"/>
        <family val="2"/>
        <scheme val="minor"/>
      </rPr>
      <t xml:space="preserve"> 300MM</t>
    </r>
  </si>
  <si>
    <t>TELESCÓPICA 350MM</t>
  </si>
  <si>
    <t>TELESCÓPICA 400MM</t>
  </si>
  <si>
    <t>TELESCÓPICA 450MM</t>
  </si>
  <si>
    <t>TELESCÓPICA 500MM</t>
  </si>
  <si>
    <t>TELESCÓPICA 550MM</t>
  </si>
  <si>
    <t>TRILHO PARCIAL 300MM</t>
  </si>
  <si>
    <t>TRILHO PARCIAL 350MM</t>
  </si>
  <si>
    <t>TRILHO PARCIAL 400MM</t>
  </si>
  <si>
    <t>TRILHO PARCIAL 450MM</t>
  </si>
  <si>
    <t>TRILHO PARCIAL 500MM</t>
  </si>
  <si>
    <t>TRILHO PARCIAL 550MM</t>
  </si>
  <si>
    <t>TRILHO INVISÍVEL TOTAL 300MM</t>
  </si>
  <si>
    <t>TRILHO INVISÍVEL TOTAL 350MM</t>
  </si>
  <si>
    <t>TRILHO INVISÍVEL TOTAL 400MM</t>
  </si>
  <si>
    <t>TRILHO INVISÍVEL TOTAL 450MM</t>
  </si>
  <si>
    <t>TRILHO INVISÍVEL TOTAL 500MM</t>
  </si>
  <si>
    <t>TRILHO INVISÍVEL TOTAL 550MM</t>
  </si>
  <si>
    <t>RETA</t>
  </si>
  <si>
    <t>CURVA</t>
  </si>
  <si>
    <t>SUPERCURVA</t>
  </si>
  <si>
    <t>ARANHA 170º</t>
  </si>
  <si>
    <t xml:space="preserve">VIDROS </t>
  </si>
  <si>
    <t>ESPELHO</t>
  </si>
  <si>
    <t>Suporte de Cabide</t>
  </si>
  <si>
    <t>CARREGAMENTO EMPRESA - EQUIPE DE ENTREGA</t>
  </si>
  <si>
    <t>DESCARGA CASA DO CLIENTE - EQUIPE DE ENTREGA</t>
  </si>
  <si>
    <t>DESCARGA/ORGANIZAÇÃO FERRAMENTAS EMPRESA - EQUIPE DEMONTAGEM</t>
  </si>
  <si>
    <t>PRODUÇÃO EMPRESA - CUSTO DA EQUIPE  A - TRABALHO EM CÉLULAS</t>
  </si>
  <si>
    <t>PRODUÇÃO EMPRESA - CUSTO DA EQUIPE  B - TRABALHO EM CÉLULAS</t>
  </si>
  <si>
    <t>PRODUÇÃO EMPRESA - CUSTO DA EQUIPE  C - TRABALHO EM CÉLULAS</t>
  </si>
  <si>
    <t>PRODUÇÃO EMPRESA - CUSTO TOTAL  DA PRODUÇÃO - DIA</t>
  </si>
  <si>
    <t>PRODUÇÃO EMPRESA - CUSTO TOTAL  DA PRODUÇÃO - HORAS</t>
  </si>
  <si>
    <t xml:space="preserve">PRODUÇÃO COMISSIONADA - MARCENEIRO A </t>
  </si>
  <si>
    <t>PRODUÇÃO COMISSIONADA - MARCENEIRO B</t>
  </si>
  <si>
    <t>PRODUÇÃO COMISSIONADA - MARCENEIRO C</t>
  </si>
  <si>
    <t>MONTAGEM CASA DO CLIENTE - EQUIPE B</t>
  </si>
  <si>
    <t>MONTAGEM CASA DO CLIENTE - EQUIPE C</t>
  </si>
  <si>
    <t>EQUIPE DE LIMPEZA E ENTREGA</t>
  </si>
  <si>
    <t>VERSÃO:</t>
  </si>
  <si>
    <t xml:space="preserve">    DOBRADIÇAS  CONVENCIONAIS</t>
  </si>
  <si>
    <t xml:space="preserve">          TRILHO INVISÍVEL -TOTAL</t>
  </si>
  <si>
    <t xml:space="preserve">          TRILHO INVISÍVEL - PARCIAL</t>
  </si>
  <si>
    <t xml:space="preserve">          TELESCÓPICA</t>
  </si>
  <si>
    <t>AFIAÇÃO DE SERRA (SECCIONADORA) =  600,00 / 12 = 50 + 20 = 70</t>
  </si>
  <si>
    <t>V1</t>
  </si>
  <si>
    <t>DOMINUS 2FOLHAS</t>
  </si>
  <si>
    <t>Trilho dominus</t>
  </si>
  <si>
    <t>10.01.20</t>
  </si>
  <si>
    <t>ATUALIZAÇÃO  DA PLANILHA:</t>
  </si>
  <si>
    <t>PORTA DE CORRER - 900X2600</t>
  </si>
  <si>
    <t>HORA</t>
  </si>
  <si>
    <t>ROLO 50M</t>
  </si>
  <si>
    <t>Fita de Borda Amadeirado 40mm (Rolo) - 0,45mm</t>
  </si>
  <si>
    <t>Cabideiro Barra de 3m</t>
  </si>
  <si>
    <t>Cola Rápida (TEKBOND ou RENDIBOND)</t>
  </si>
  <si>
    <t>Cola de Contato - 1/4 - Fórmica</t>
  </si>
  <si>
    <t>Ponteira Cava Rometal</t>
  </si>
  <si>
    <t>PERFIL GOLA RCF 3 METROS</t>
  </si>
  <si>
    <t>Perfil Cava Rometal 15mm 6 METROS</t>
  </si>
  <si>
    <t>Thinner  (Litro) c&amp;d</t>
  </si>
  <si>
    <t>Plastico Bolha</t>
  </si>
  <si>
    <t>Suportes</t>
  </si>
  <si>
    <t xml:space="preserve">Puxador Quadradro haste 45 cm </t>
  </si>
  <si>
    <t>UNIADADE</t>
  </si>
  <si>
    <t>PERFIL GOLA RM</t>
  </si>
  <si>
    <t>PERFIL GOLA</t>
  </si>
  <si>
    <t>PE</t>
  </si>
  <si>
    <t>TRILHO FECHO TOQUE</t>
  </si>
  <si>
    <t>MONTAGEM CASA DO CLIENTE - EQUIPE A (JOSÉ LUIZ E LUCAS)</t>
  </si>
  <si>
    <t xml:space="preserve"> 50% + 50%</t>
  </si>
  <si>
    <t>Cola TRANSPARENTE FÓRMICA 2,5KG</t>
  </si>
  <si>
    <t>MDF Branco 15 mm NAVAL</t>
  </si>
  <si>
    <t xml:space="preserve">ALUMINIO 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</si>
</sst>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_(&quot;R$&quot;* #,##0.00_);_(&quot;R$&quot;* \(#,##0.00\);_(&quot;R$&quot;* &quot;-&quot;??_);_(@_)"/>
    <numFmt numFmtId="167" formatCode="_ &quot;R$&quot;* #,##0.00_ ;_ &quot;R$&quot;* \-#,##0.00_ ;_ &quot;R$&quot;* &quot;-&quot;??_ ;_ @_ "/>
    <numFmt numFmtId="168" formatCode="_ * #,##0_ ;_ * \-#,##0_ ;_ * &quot;-&quot;_ ;_ @_ "/>
    <numFmt numFmtId="169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  <font>
      <sz val="9"/>
      <color theme="1"/>
      <name val="Calibri"/>
      <family val="2"/>
      <scheme val="minor"/>
    </font>
    <font>
      <sz val="9"/>
      <name val="Verdana"/>
      <family val="2"/>
    </font>
    <font>
      <b/>
      <sz val="9"/>
      <name val="Verdana"/>
      <family val="2"/>
    </font>
    <font>
      <b/>
      <sz val="8"/>
      <color theme="1"/>
      <name val="Verdana"/>
      <family val="2"/>
    </font>
    <font>
      <sz val="7"/>
      <name val="Verdana"/>
      <family val="2"/>
    </font>
    <font>
      <b/>
      <sz val="7"/>
      <color theme="1"/>
      <name val="Verdana"/>
      <family val="2"/>
    </font>
    <font>
      <b/>
      <sz val="7"/>
      <name val="Verdana"/>
      <family val="2"/>
    </font>
    <font>
      <sz val="10"/>
      <name val="Arial"/>
      <family val="2"/>
    </font>
    <font>
      <b/>
      <sz val="8"/>
      <name val="Verdana"/>
      <family val="2"/>
    </font>
    <font>
      <b/>
      <sz val="11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666666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8" fontId="16" fillId="0" borderId="0" applyFont="0" applyFill="0" applyBorder="0" applyAlignment="0" applyProtection="0"/>
  </cellStyleXfs>
  <cellXfs count="445">
    <xf numFmtId="0" fontId="0" fillId="0" borderId="0" xfId="0"/>
    <xf numFmtId="164" fontId="0" fillId="0" borderId="0" xfId="0" applyNumberFormat="1"/>
    <xf numFmtId="0" fontId="1" fillId="0" borderId="0" xfId="0" applyFont="1"/>
    <xf numFmtId="44" fontId="1" fillId="0" borderId="0" xfId="1" applyFont="1" applyFill="1" applyAlignment="1">
      <alignment horizontal="left"/>
    </xf>
    <xf numFmtId="44" fontId="1" fillId="0" borderId="0" xfId="1" applyFont="1" applyAlignment="1">
      <alignment horizontal="left"/>
    </xf>
    <xf numFmtId="44" fontId="1" fillId="0" borderId="0" xfId="1" applyFont="1" applyBorder="1" applyAlignment="1">
      <alignment horizontal="left"/>
    </xf>
    <xf numFmtId="10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4" fontId="1" fillId="2" borderId="0" xfId="1" applyFont="1" applyFill="1" applyBorder="1" applyAlignment="1">
      <alignment horizontal="left" vertical="center" wrapText="1"/>
    </xf>
    <xf numFmtId="0" fontId="0" fillId="4" borderId="0" xfId="0" applyFill="1"/>
    <xf numFmtId="0" fontId="1" fillId="3" borderId="0" xfId="0" applyFont="1" applyFill="1"/>
    <xf numFmtId="0" fontId="1" fillId="4" borderId="0" xfId="0" applyFont="1" applyFill="1"/>
    <xf numFmtId="164" fontId="1" fillId="0" borderId="0" xfId="0" applyNumberFormat="1" applyFont="1" applyAlignment="1">
      <alignment horizontal="right"/>
    </xf>
    <xf numFmtId="0" fontId="4" fillId="0" borderId="0" xfId="0" applyFont="1"/>
    <xf numFmtId="0" fontId="1" fillId="5" borderId="0" xfId="0" applyFont="1" applyFill="1"/>
    <xf numFmtId="0" fontId="0" fillId="6" borderId="0" xfId="0" applyFill="1"/>
    <xf numFmtId="164" fontId="0" fillId="6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164" fontId="0" fillId="10" borderId="0" xfId="0" applyNumberFormat="1" applyFill="1" applyAlignment="1">
      <alignment horizontal="center"/>
    </xf>
    <xf numFmtId="0" fontId="1" fillId="11" borderId="0" xfId="0" applyFont="1" applyFill="1"/>
    <xf numFmtId="164" fontId="0" fillId="11" borderId="0" xfId="0" applyNumberFormat="1" applyFill="1" applyAlignment="1">
      <alignment horizontal="center"/>
    </xf>
    <xf numFmtId="0" fontId="0" fillId="5" borderId="0" xfId="0" applyFill="1"/>
    <xf numFmtId="164" fontId="0" fillId="5" borderId="0" xfId="0" applyNumberFormat="1" applyFill="1" applyAlignment="1">
      <alignment horizontal="center"/>
    </xf>
    <xf numFmtId="0" fontId="1" fillId="12" borderId="0" xfId="0" applyFont="1" applyFill="1"/>
    <xf numFmtId="0" fontId="0" fillId="12" borderId="0" xfId="0" applyFill="1"/>
    <xf numFmtId="164" fontId="0" fillId="12" borderId="0" xfId="0" applyNumberFormat="1" applyFill="1" applyAlignment="1">
      <alignment horizontal="center"/>
    </xf>
    <xf numFmtId="0" fontId="0" fillId="11" borderId="0" xfId="0" applyFill="1"/>
    <xf numFmtId="0" fontId="1" fillId="6" borderId="0" xfId="0" applyFont="1" applyFill="1" applyAlignment="1">
      <alignment horizontal="left"/>
    </xf>
    <xf numFmtId="0" fontId="0" fillId="13" borderId="0" xfId="0" applyFill="1"/>
    <xf numFmtId="10" fontId="1" fillId="9" borderId="0" xfId="2" applyNumberFormat="1" applyFont="1" applyFill="1" applyAlignment="1">
      <alignment horizontal="center"/>
    </xf>
    <xf numFmtId="0" fontId="1" fillId="13" borderId="0" xfId="0" applyFont="1" applyFill="1"/>
    <xf numFmtId="164" fontId="0" fillId="4" borderId="0" xfId="0" applyNumberFormat="1" applyFill="1" applyAlignment="1">
      <alignment horizontal="center"/>
    </xf>
    <xf numFmtId="0" fontId="1" fillId="9" borderId="0" xfId="0" applyFont="1" applyFill="1" applyAlignment="1">
      <alignment horizontal="left"/>
    </xf>
    <xf numFmtId="0" fontId="0" fillId="9" borderId="0" xfId="0" applyFill="1"/>
    <xf numFmtId="164" fontId="0" fillId="13" borderId="0" xfId="0" applyNumberFormat="1" applyFill="1" applyAlignment="1">
      <alignment horizontal="center"/>
    </xf>
    <xf numFmtId="0" fontId="1" fillId="14" borderId="0" xfId="0" applyFont="1" applyFill="1" applyAlignment="1">
      <alignment vertical="center" wrapText="1"/>
    </xf>
    <xf numFmtId="164" fontId="1" fillId="14" borderId="0" xfId="0" applyNumberFormat="1" applyFont="1" applyFill="1" applyAlignment="1">
      <alignment horizontal="center" vertical="center" wrapText="1"/>
    </xf>
    <xf numFmtId="0" fontId="1" fillId="7" borderId="0" xfId="0" applyFont="1" applyFill="1" applyAlignment="1">
      <alignment horizontal="left"/>
    </xf>
    <xf numFmtId="164" fontId="0" fillId="7" borderId="0" xfId="0" applyNumberFormat="1" applyFill="1" applyAlignment="1">
      <alignment horizontal="center"/>
    </xf>
    <xf numFmtId="0" fontId="1" fillId="14" borderId="0" xfId="0" applyFont="1" applyFill="1"/>
    <xf numFmtId="10" fontId="1" fillId="6" borderId="0" xfId="2" applyNumberFormat="1" applyFont="1" applyFill="1" applyAlignment="1">
      <alignment horizontal="center"/>
    </xf>
    <xf numFmtId="10" fontId="1" fillId="7" borderId="0" xfId="2" applyNumberFormat="1" applyFont="1" applyFill="1" applyAlignment="1">
      <alignment horizontal="center"/>
    </xf>
    <xf numFmtId="0" fontId="0" fillId="15" borderId="0" xfId="0" applyFill="1"/>
    <xf numFmtId="0" fontId="1" fillId="15" borderId="0" xfId="0" applyFont="1" applyFill="1" applyAlignment="1">
      <alignment vertical="center" wrapText="1"/>
    </xf>
    <xf numFmtId="164" fontId="1" fillId="15" borderId="0" xfId="0" applyNumberFormat="1" applyFont="1" applyFill="1" applyAlignment="1">
      <alignment horizontal="center" vertical="center" wrapText="1"/>
    </xf>
    <xf numFmtId="10" fontId="1" fillId="15" borderId="0" xfId="0" applyNumberFormat="1" applyFont="1" applyFill="1" applyAlignment="1">
      <alignment horizontal="center" vertical="center" wrapText="1"/>
    </xf>
    <xf numFmtId="9" fontId="1" fillId="2" borderId="0" xfId="2" applyFont="1" applyFill="1" applyBorder="1" applyAlignment="1">
      <alignment horizontal="center" vertical="center" wrapText="1"/>
    </xf>
    <xf numFmtId="9" fontId="1" fillId="13" borderId="0" xfId="2" applyFont="1" applyFill="1" applyBorder="1" applyAlignment="1">
      <alignment horizontal="center"/>
    </xf>
    <xf numFmtId="9" fontId="1" fillId="4" borderId="0" xfId="2" applyFont="1" applyFill="1" applyBorder="1" applyAlignment="1">
      <alignment horizontal="center"/>
    </xf>
    <xf numFmtId="165" fontId="1" fillId="14" borderId="0" xfId="0" applyNumberFormat="1" applyFont="1" applyFill="1" applyAlignment="1">
      <alignment vertical="center" wrapText="1"/>
    </xf>
    <xf numFmtId="10" fontId="0" fillId="0" borderId="0" xfId="2" applyNumberFormat="1" applyFont="1" applyFill="1" applyAlignment="1">
      <alignment horizontal="center"/>
    </xf>
    <xf numFmtId="9" fontId="1" fillId="0" borderId="0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18" borderId="0" xfId="0" applyFont="1" applyFill="1"/>
    <xf numFmtId="0" fontId="1" fillId="18" borderId="0" xfId="0" applyFont="1" applyFill="1" applyAlignment="1">
      <alignment vertical="center" wrapText="1"/>
    </xf>
    <xf numFmtId="164" fontId="1" fillId="18" borderId="0" xfId="0" applyNumberFormat="1" applyFont="1" applyFill="1" applyAlignment="1">
      <alignment horizontal="center" vertical="center" wrapText="1"/>
    </xf>
    <xf numFmtId="44" fontId="1" fillId="18" borderId="0" xfId="1" applyFont="1" applyFill="1" applyBorder="1" applyAlignment="1">
      <alignment horizontal="left" vertical="center" wrapText="1"/>
    </xf>
    <xf numFmtId="44" fontId="1" fillId="11" borderId="0" xfId="1" applyFont="1" applyFill="1" applyBorder="1" applyAlignment="1">
      <alignment horizontal="left"/>
    </xf>
    <xf numFmtId="0" fontId="4" fillId="10" borderId="0" xfId="0" applyFont="1" applyFill="1"/>
    <xf numFmtId="44" fontId="1" fillId="10" borderId="0" xfId="1" applyFont="1" applyFill="1" applyBorder="1" applyAlignment="1">
      <alignment horizontal="left"/>
    </xf>
    <xf numFmtId="0" fontId="4" fillId="5" borderId="0" xfId="0" applyFont="1" applyFill="1"/>
    <xf numFmtId="44" fontId="1" fillId="5" borderId="0" xfId="1" applyFont="1" applyFill="1" applyBorder="1" applyAlignment="1">
      <alignment horizontal="left"/>
    </xf>
    <xf numFmtId="44" fontId="1" fillId="13" borderId="0" xfId="1" applyFont="1" applyFill="1" applyBorder="1" applyAlignment="1">
      <alignment horizontal="left"/>
    </xf>
    <xf numFmtId="0" fontId="4" fillId="17" borderId="0" xfId="0" applyFont="1" applyFill="1"/>
    <xf numFmtId="164" fontId="3" fillId="17" borderId="0" xfId="0" applyNumberFormat="1" applyFont="1" applyFill="1" applyAlignment="1">
      <alignment horizontal="center"/>
    </xf>
    <xf numFmtId="44" fontId="4" fillId="17" borderId="0" xfId="1" applyFont="1" applyFill="1" applyBorder="1" applyAlignment="1">
      <alignment horizontal="left"/>
    </xf>
    <xf numFmtId="0" fontId="1" fillId="16" borderId="0" xfId="0" applyFont="1" applyFill="1"/>
    <xf numFmtId="164" fontId="0" fillId="16" borderId="0" xfId="0" applyNumberFormat="1" applyFill="1" applyAlignment="1">
      <alignment horizontal="center"/>
    </xf>
    <xf numFmtId="44" fontId="1" fillId="16" borderId="0" xfId="1" applyFont="1" applyFill="1" applyBorder="1" applyAlignment="1">
      <alignment horizontal="left"/>
    </xf>
    <xf numFmtId="0" fontId="1" fillId="17" borderId="0" xfId="0" applyFont="1" applyFill="1"/>
    <xf numFmtId="164" fontId="0" fillId="17" borderId="0" xfId="0" applyNumberFormat="1" applyFill="1" applyAlignment="1">
      <alignment horizontal="center"/>
    </xf>
    <xf numFmtId="44" fontId="1" fillId="17" borderId="0" xfId="1" applyFont="1" applyFill="1" applyBorder="1" applyAlignment="1">
      <alignment horizontal="left"/>
    </xf>
    <xf numFmtId="44" fontId="1" fillId="4" borderId="0" xfId="1" applyFont="1" applyFill="1" applyAlignment="1">
      <alignment horizontal="left"/>
    </xf>
    <xf numFmtId="44" fontId="1" fillId="5" borderId="0" xfId="1" applyFont="1" applyFill="1" applyAlignment="1">
      <alignment horizontal="left"/>
    </xf>
    <xf numFmtId="44" fontId="1" fillId="12" borderId="0" xfId="1" applyFont="1" applyFill="1" applyAlignment="1">
      <alignment horizontal="left"/>
    </xf>
    <xf numFmtId="44" fontId="1" fillId="10" borderId="0" xfId="1" applyFont="1" applyFill="1" applyAlignment="1">
      <alignment horizontal="left"/>
    </xf>
    <xf numFmtId="44" fontId="1" fillId="11" borderId="0" xfId="1" applyFont="1" applyFill="1" applyAlignment="1">
      <alignment horizontal="left"/>
    </xf>
    <xf numFmtId="44" fontId="1" fillId="6" borderId="0" xfId="1" applyFont="1" applyFill="1" applyAlignment="1">
      <alignment horizontal="left"/>
    </xf>
    <xf numFmtId="44" fontId="1" fillId="9" borderId="0" xfId="1" applyFont="1" applyFill="1" applyAlignment="1">
      <alignment horizontal="left"/>
    </xf>
    <xf numFmtId="0" fontId="1" fillId="0" borderId="0" xfId="0" applyFont="1" applyAlignment="1">
      <alignment horizontal="left"/>
    </xf>
    <xf numFmtId="9" fontId="1" fillId="0" borderId="0" xfId="2" applyFont="1" applyFill="1" applyAlignment="1">
      <alignment horizontal="center"/>
    </xf>
    <xf numFmtId="9" fontId="1" fillId="0" borderId="0" xfId="2" applyFont="1" applyAlignment="1">
      <alignment horizontal="center"/>
    </xf>
    <xf numFmtId="9" fontId="1" fillId="15" borderId="0" xfId="2" applyFont="1" applyFill="1" applyBorder="1" applyAlignment="1">
      <alignment horizontal="center" vertical="center" wrapText="1"/>
    </xf>
    <xf numFmtId="9" fontId="1" fillId="14" borderId="0" xfId="2" applyFont="1" applyFill="1" applyBorder="1" applyAlignment="1">
      <alignment horizontal="center" vertical="center" wrapText="1"/>
    </xf>
    <xf numFmtId="9" fontId="1" fillId="18" borderId="0" xfId="2" applyFont="1" applyFill="1" applyBorder="1" applyAlignment="1">
      <alignment horizontal="center" vertical="center" wrapText="1"/>
    </xf>
    <xf numFmtId="9" fontId="1" fillId="0" borderId="0" xfId="2" applyFont="1" applyBorder="1" applyAlignment="1">
      <alignment horizontal="center"/>
    </xf>
    <xf numFmtId="9" fontId="4" fillId="17" borderId="0" xfId="2" applyFont="1" applyFill="1" applyBorder="1" applyAlignment="1">
      <alignment horizontal="center"/>
    </xf>
    <xf numFmtId="9" fontId="1" fillId="11" borderId="0" xfId="2" applyFont="1" applyFill="1" applyBorder="1" applyAlignment="1">
      <alignment horizontal="center"/>
    </xf>
    <xf numFmtId="9" fontId="1" fillId="6" borderId="0" xfId="2" applyFont="1" applyFill="1" applyAlignment="1">
      <alignment horizontal="center"/>
    </xf>
    <xf numFmtId="9" fontId="1" fillId="9" borderId="0" xfId="2" applyFont="1" applyFill="1" applyAlignment="1">
      <alignment horizontal="center"/>
    </xf>
    <xf numFmtId="9" fontId="1" fillId="0" borderId="0" xfId="2" applyFont="1" applyFill="1" applyBorder="1" applyAlignment="1">
      <alignment horizontal="center" vertical="center" wrapText="1"/>
    </xf>
    <xf numFmtId="9" fontId="1" fillId="10" borderId="0" xfId="2" applyFont="1" applyFill="1" applyBorder="1" applyAlignment="1">
      <alignment horizontal="center"/>
    </xf>
    <xf numFmtId="9" fontId="1" fillId="5" borderId="0" xfId="2" applyFont="1" applyFill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0" fontId="0" fillId="11" borderId="0" xfId="2" applyNumberFormat="1" applyFont="1" applyFill="1" applyAlignment="1">
      <alignment horizontal="center"/>
    </xf>
    <xf numFmtId="10" fontId="0" fillId="10" borderId="0" xfId="2" applyNumberFormat="1" applyFont="1" applyFill="1" applyAlignment="1">
      <alignment horizontal="center"/>
    </xf>
    <xf numFmtId="10" fontId="0" fillId="5" borderId="0" xfId="2" applyNumberFormat="1" applyFont="1" applyFill="1" applyAlignment="1">
      <alignment horizontal="center"/>
    </xf>
    <xf numFmtId="0" fontId="0" fillId="7" borderId="0" xfId="0" applyFill="1"/>
    <xf numFmtId="44" fontId="1" fillId="7" borderId="0" xfId="1" applyFont="1" applyFill="1" applyAlignment="1">
      <alignment horizontal="left"/>
    </xf>
    <xf numFmtId="44" fontId="1" fillId="0" borderId="0" xfId="1" applyFont="1" applyFill="1" applyBorder="1" applyAlignment="1">
      <alignment horizontal="left"/>
    </xf>
    <xf numFmtId="10" fontId="1" fillId="14" borderId="0" xfId="2" applyNumberFormat="1" applyFont="1" applyFill="1" applyAlignment="1">
      <alignment horizontal="center"/>
    </xf>
    <xf numFmtId="44" fontId="1" fillId="0" borderId="0" xfId="1" applyFont="1" applyAlignment="1">
      <alignment horizontal="right"/>
    </xf>
    <xf numFmtId="9" fontId="1" fillId="7" borderId="0" xfId="2" applyFont="1" applyFill="1" applyAlignment="1">
      <alignment horizontal="center"/>
    </xf>
    <xf numFmtId="10" fontId="0" fillId="17" borderId="0" xfId="2" applyNumberFormat="1" applyFont="1" applyFill="1" applyAlignment="1">
      <alignment horizontal="center"/>
    </xf>
    <xf numFmtId="10" fontId="0" fillId="12" borderId="0" xfId="2" applyNumberFormat="1" applyFont="1" applyFill="1" applyAlignment="1">
      <alignment horizontal="center"/>
    </xf>
    <xf numFmtId="10" fontId="0" fillId="16" borderId="0" xfId="2" applyNumberFormat="1" applyFont="1" applyFill="1" applyAlignment="1">
      <alignment horizontal="center"/>
    </xf>
    <xf numFmtId="9" fontId="4" fillId="0" borderId="0" xfId="2" applyFont="1" applyFill="1" applyBorder="1" applyAlignment="1">
      <alignment horizontal="center"/>
    </xf>
    <xf numFmtId="10" fontId="0" fillId="13" borderId="0" xfId="2" applyNumberFormat="1" applyFont="1" applyFill="1" applyAlignment="1">
      <alignment horizontal="center"/>
    </xf>
    <xf numFmtId="9" fontId="4" fillId="16" borderId="0" xfId="2" applyFont="1" applyFill="1" applyBorder="1" applyAlignment="1">
      <alignment horizontal="center"/>
    </xf>
    <xf numFmtId="9" fontId="4" fillId="13" borderId="0" xfId="2" applyFont="1" applyFill="1" applyBorder="1" applyAlignment="1">
      <alignment horizontal="center"/>
    </xf>
    <xf numFmtId="9" fontId="4" fillId="0" borderId="0" xfId="2" applyFont="1" applyFill="1" applyAlignment="1">
      <alignment horizontal="center"/>
    </xf>
    <xf numFmtId="9" fontId="1" fillId="12" borderId="0" xfId="2" applyFont="1" applyFill="1" applyBorder="1" applyAlignment="1">
      <alignment horizontal="center"/>
    </xf>
    <xf numFmtId="10" fontId="1" fillId="2" borderId="0" xfId="2" applyNumberFormat="1" applyFont="1" applyFill="1" applyAlignment="1">
      <alignment horizontal="center"/>
    </xf>
    <xf numFmtId="10" fontId="1" fillId="11" borderId="0" xfId="2" applyNumberFormat="1" applyFont="1" applyFill="1" applyAlignment="1">
      <alignment horizontal="center"/>
    </xf>
    <xf numFmtId="10" fontId="1" fillId="13" borderId="0" xfId="2" applyNumberFormat="1" applyFont="1" applyFill="1" applyAlignment="1">
      <alignment horizontal="center"/>
    </xf>
    <xf numFmtId="10" fontId="1" fillId="4" borderId="0" xfId="2" applyNumberFormat="1" applyFont="1" applyFill="1" applyAlignment="1">
      <alignment horizontal="center"/>
    </xf>
    <xf numFmtId="0" fontId="1" fillId="19" borderId="0" xfId="0" applyFont="1" applyFill="1" applyAlignment="1">
      <alignment horizontal="left"/>
    </xf>
    <xf numFmtId="0" fontId="0" fillId="19" borderId="0" xfId="0" applyFill="1"/>
    <xf numFmtId="164" fontId="0" fillId="19" borderId="0" xfId="0" applyNumberFormat="1" applyFill="1" applyAlignment="1">
      <alignment horizontal="center"/>
    </xf>
    <xf numFmtId="9" fontId="1" fillId="19" borderId="0" xfId="2" applyFont="1" applyFill="1" applyAlignment="1">
      <alignment horizontal="center"/>
    </xf>
    <xf numFmtId="10" fontId="1" fillId="19" borderId="0" xfId="2" applyNumberFormat="1" applyFont="1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44" fontId="1" fillId="19" borderId="0" xfId="1" applyFont="1" applyFill="1" applyAlignment="1">
      <alignment horizontal="right"/>
    </xf>
    <xf numFmtId="0" fontId="1" fillId="15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9" fontId="1" fillId="21" borderId="0" xfId="2" applyFont="1" applyFill="1" applyAlignment="1">
      <alignment horizontal="center"/>
    </xf>
    <xf numFmtId="164" fontId="5" fillId="0" borderId="0" xfId="0" applyNumberFormat="1" applyFont="1" applyAlignment="1">
      <alignment horizontal="right"/>
    </xf>
    <xf numFmtId="44" fontId="1" fillId="2" borderId="0" xfId="0" applyNumberFormat="1" applyFont="1" applyFill="1"/>
    <xf numFmtId="10" fontId="0" fillId="18" borderId="0" xfId="2" applyNumberFormat="1" applyFont="1" applyFill="1" applyAlignment="1">
      <alignment horizontal="center"/>
    </xf>
    <xf numFmtId="0" fontId="1" fillId="20" borderId="0" xfId="0" applyFont="1" applyFill="1" applyAlignment="1">
      <alignment horizontal="left"/>
    </xf>
    <xf numFmtId="0" fontId="0" fillId="20" borderId="0" xfId="0" applyFill="1"/>
    <xf numFmtId="164" fontId="0" fillId="20" borderId="0" xfId="0" applyNumberFormat="1" applyFill="1" applyAlignment="1">
      <alignment horizontal="center"/>
    </xf>
    <xf numFmtId="44" fontId="1" fillId="20" borderId="0" xfId="1" applyFont="1" applyFill="1" applyAlignment="1">
      <alignment horizontal="left"/>
    </xf>
    <xf numFmtId="9" fontId="1" fillId="20" borderId="0" xfId="2" applyFont="1" applyFill="1" applyAlignment="1">
      <alignment horizontal="center"/>
    </xf>
    <xf numFmtId="10" fontId="1" fillId="20" borderId="0" xfId="2" applyNumberFormat="1" applyFont="1" applyFill="1" applyAlignment="1">
      <alignment horizontal="center"/>
    </xf>
    <xf numFmtId="0" fontId="0" fillId="21" borderId="0" xfId="0" applyFill="1"/>
    <xf numFmtId="0" fontId="1" fillId="21" borderId="0" xfId="0" applyFont="1" applyFill="1" applyAlignment="1">
      <alignment horizontal="left"/>
    </xf>
    <xf numFmtId="164" fontId="0" fillId="21" borderId="0" xfId="0" applyNumberFormat="1" applyFill="1" applyAlignment="1">
      <alignment horizontal="center"/>
    </xf>
    <xf numFmtId="44" fontId="1" fillId="21" borderId="0" xfId="1" applyFont="1" applyFill="1" applyAlignment="1">
      <alignment horizontal="left"/>
    </xf>
    <xf numFmtId="10" fontId="1" fillId="21" borderId="0" xfId="2" applyNumberFormat="1" applyFont="1" applyFill="1" applyAlignment="1">
      <alignment horizontal="center"/>
    </xf>
    <xf numFmtId="0" fontId="0" fillId="3" borderId="0" xfId="0" applyFill="1"/>
    <xf numFmtId="9" fontId="1" fillId="3" borderId="0" xfId="2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44" fontId="1" fillId="3" borderId="0" xfId="1" applyFont="1" applyFill="1" applyAlignment="1">
      <alignment horizontal="left"/>
    </xf>
    <xf numFmtId="10" fontId="1" fillId="3" borderId="0" xfId="2" applyNumberFormat="1" applyFont="1" applyFill="1" applyAlignment="1">
      <alignment horizontal="center"/>
    </xf>
    <xf numFmtId="0" fontId="1" fillId="18" borderId="0" xfId="0" applyFont="1" applyFill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4" fillId="17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1" fillId="0" borderId="0" xfId="1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3" xfId="0" applyFont="1" applyBorder="1"/>
    <xf numFmtId="0" fontId="6" fillId="3" borderId="6" xfId="0" applyFont="1" applyFill="1" applyBorder="1"/>
    <xf numFmtId="164" fontId="6" fillId="3" borderId="0" xfId="0" applyNumberFormat="1" applyFont="1" applyFill="1"/>
    <xf numFmtId="0" fontId="6" fillId="22" borderId="6" xfId="0" applyFont="1" applyFill="1" applyBorder="1"/>
    <xf numFmtId="164" fontId="7" fillId="22" borderId="0" xfId="0" applyNumberFormat="1" applyFont="1" applyFill="1"/>
    <xf numFmtId="0" fontId="6" fillId="0" borderId="6" xfId="0" applyFont="1" applyBorder="1"/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13" fillId="0" borderId="7" xfId="0" applyFont="1" applyBorder="1"/>
    <xf numFmtId="164" fontId="13" fillId="0" borderId="7" xfId="2" applyNumberFormat="1" applyFont="1" applyFill="1" applyBorder="1" applyProtection="1"/>
    <xf numFmtId="164" fontId="13" fillId="0" borderId="0" xfId="2" applyNumberFormat="1" applyFont="1" applyFill="1" applyBorder="1" applyProtection="1"/>
    <xf numFmtId="0" fontId="13" fillId="0" borderId="0" xfId="0" applyFont="1"/>
    <xf numFmtId="0" fontId="13" fillId="0" borderId="1" xfId="0" applyFont="1" applyBorder="1"/>
    <xf numFmtId="10" fontId="14" fillId="8" borderId="4" xfId="0" applyNumberFormat="1" applyFont="1" applyFill="1" applyBorder="1" applyAlignment="1">
      <alignment horizontal="center" vertical="center"/>
    </xf>
    <xf numFmtId="165" fontId="14" fillId="8" borderId="7" xfId="1" applyNumberFormat="1" applyFont="1" applyFill="1" applyBorder="1" applyAlignment="1">
      <alignment horizontal="center" vertical="center"/>
    </xf>
    <xf numFmtId="165" fontId="14" fillId="0" borderId="0" xfId="1" applyNumberFormat="1" applyFont="1" applyFill="1" applyBorder="1" applyAlignment="1">
      <alignment horizontal="center" vertical="center"/>
    </xf>
    <xf numFmtId="164" fontId="13" fillId="0" borderId="7" xfId="2" applyNumberFormat="1" applyFont="1" applyFill="1" applyBorder="1" applyAlignment="1" applyProtection="1">
      <alignment horizontal="right" vertical="center"/>
    </xf>
    <xf numFmtId="164" fontId="13" fillId="0" borderId="0" xfId="2" applyNumberFormat="1" applyFont="1" applyFill="1" applyBorder="1" applyAlignment="1" applyProtection="1">
      <alignment horizontal="right" vertical="center"/>
    </xf>
    <xf numFmtId="0" fontId="13" fillId="0" borderId="0" xfId="0" applyFont="1" applyAlignment="1">
      <alignment horizontal="center"/>
    </xf>
    <xf numFmtId="10" fontId="13" fillId="0" borderId="0" xfId="2" applyNumberFormat="1" applyFont="1" applyFill="1" applyBorder="1" applyAlignment="1" applyProtection="1">
      <alignment horizontal="right"/>
      <protection locked="0"/>
    </xf>
    <xf numFmtId="9" fontId="14" fillId="0" borderId="7" xfId="2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right" vertical="center"/>
    </xf>
    <xf numFmtId="0" fontId="14" fillId="8" borderId="4" xfId="0" applyFont="1" applyFill="1" applyBorder="1" applyAlignment="1">
      <alignment horizontal="right" vertical="center"/>
    </xf>
    <xf numFmtId="9" fontId="15" fillId="8" borderId="7" xfId="2" applyFont="1" applyFill="1" applyBorder="1" applyAlignment="1">
      <alignment horizontal="center" vertical="center"/>
    </xf>
    <xf numFmtId="164" fontId="15" fillId="8" borderId="7" xfId="0" applyNumberFormat="1" applyFont="1" applyFill="1" applyBorder="1" applyAlignment="1">
      <alignment horizontal="right" vertical="center"/>
    </xf>
    <xf numFmtId="165" fontId="13" fillId="0" borderId="0" xfId="2" applyNumberFormat="1" applyFont="1" applyFill="1" applyBorder="1" applyAlignment="1" applyProtection="1">
      <alignment horizontal="right" vertical="center"/>
      <protection locked="0"/>
    </xf>
    <xf numFmtId="164" fontId="15" fillId="0" borderId="0" xfId="0" applyNumberFormat="1" applyFont="1" applyAlignment="1">
      <alignment horizontal="right" vertical="center"/>
    </xf>
    <xf numFmtId="2" fontId="14" fillId="2" borderId="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5" fontId="14" fillId="2" borderId="7" xfId="0" applyNumberFormat="1" applyFont="1" applyFill="1" applyBorder="1" applyAlignment="1">
      <alignment horizontal="center" vertical="center"/>
    </xf>
    <xf numFmtId="10" fontId="14" fillId="0" borderId="7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2" fontId="17" fillId="3" borderId="7" xfId="0" applyNumberFormat="1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right"/>
    </xf>
    <xf numFmtId="0" fontId="12" fillId="23" borderId="7" xfId="0" applyFont="1" applyFill="1" applyBorder="1" applyAlignment="1">
      <alignment horizontal="center" vertical="center"/>
    </xf>
    <xf numFmtId="164" fontId="6" fillId="0" borderId="7" xfId="0" applyNumberFormat="1" applyFont="1" applyBorder="1"/>
    <xf numFmtId="0" fontId="6" fillId="0" borderId="4" xfId="0" applyFont="1" applyBorder="1" applyAlignment="1">
      <alignment horizontal="center"/>
    </xf>
    <xf numFmtId="164" fontId="12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/>
    </xf>
    <xf numFmtId="44" fontId="2" fillId="0" borderId="0" xfId="1" applyFont="1" applyAlignment="1">
      <alignment horizontal="right"/>
    </xf>
    <xf numFmtId="166" fontId="17" fillId="0" borderId="0" xfId="4" applyFont="1" applyFill="1" applyBorder="1" applyAlignment="1">
      <alignment horizontal="center" vertical="center"/>
    </xf>
    <xf numFmtId="167" fontId="7" fillId="0" borderId="0" xfId="5" applyFont="1" applyBorder="1" applyAlignment="1">
      <alignment horizontal="center" vertical="center"/>
    </xf>
    <xf numFmtId="44" fontId="19" fillId="0" borderId="0" xfId="1" applyFont="1" applyAlignment="1">
      <alignment horizontal="right"/>
    </xf>
    <xf numFmtId="44" fontId="20" fillId="0" borderId="0" xfId="1" applyFont="1" applyAlignment="1">
      <alignment horizontal="left"/>
    </xf>
    <xf numFmtId="167" fontId="7" fillId="0" borderId="0" xfId="5" applyFont="1" applyFill="1" applyBorder="1" applyAlignment="1">
      <alignment horizontal="center" vertical="center"/>
    </xf>
    <xf numFmtId="10" fontId="18" fillId="0" borderId="0" xfId="6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right"/>
    </xf>
    <xf numFmtId="0" fontId="12" fillId="14" borderId="7" xfId="0" applyFont="1" applyFill="1" applyBorder="1" applyAlignment="1">
      <alignment vertical="center"/>
    </xf>
    <xf numFmtId="0" fontId="12" fillId="14" borderId="7" xfId="0" applyFont="1" applyFill="1" applyBorder="1" applyAlignment="1">
      <alignment horizontal="center" vertical="center"/>
    </xf>
    <xf numFmtId="169" fontId="12" fillId="14" borderId="3" xfId="0" applyNumberFormat="1" applyFont="1" applyFill="1" applyBorder="1" applyAlignment="1">
      <alignment horizontal="center" vertical="center"/>
    </xf>
    <xf numFmtId="169" fontId="12" fillId="14" borderId="5" xfId="0" applyNumberFormat="1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vertical="center"/>
    </xf>
    <xf numFmtId="1" fontId="12" fillId="0" borderId="7" xfId="2" applyNumberFormat="1" applyFont="1" applyFill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2" fontId="12" fillId="0" borderId="0" xfId="2" applyNumberFormat="1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2" fontId="12" fillId="0" borderId="8" xfId="2" applyNumberFormat="1" applyFont="1" applyFill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" fontId="12" fillId="0" borderId="8" xfId="2" applyNumberFormat="1" applyFont="1" applyFill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0" fontId="12" fillId="0" borderId="7" xfId="3" applyNumberFormat="1" applyFont="1" applyFill="1" applyBorder="1" applyAlignment="1">
      <alignment horizontal="right" vertical="center"/>
    </xf>
    <xf numFmtId="2" fontId="12" fillId="25" borderId="7" xfId="2" applyNumberFormat="1" applyFont="1" applyFill="1" applyBorder="1" applyAlignment="1">
      <alignment horizontal="center" vertical="center"/>
    </xf>
    <xf numFmtId="164" fontId="17" fillId="25" borderId="3" xfId="0" applyNumberFormat="1" applyFont="1" applyFill="1" applyBorder="1" applyAlignment="1">
      <alignment horizontal="center" vertical="center"/>
    </xf>
    <xf numFmtId="164" fontId="17" fillId="25" borderId="5" xfId="0" applyNumberFormat="1" applyFont="1" applyFill="1" applyBorder="1" applyAlignment="1">
      <alignment horizontal="center" vertical="center"/>
    </xf>
    <xf numFmtId="1" fontId="12" fillId="25" borderId="7" xfId="2" applyNumberFormat="1" applyFont="1" applyFill="1" applyBorder="1" applyAlignment="1">
      <alignment horizontal="center" vertical="center"/>
    </xf>
    <xf numFmtId="2" fontId="12" fillId="0" borderId="7" xfId="2" applyNumberFormat="1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7" fillId="2" borderId="5" xfId="0" applyNumberFormat="1" applyFont="1" applyFill="1" applyBorder="1" applyAlignment="1">
      <alignment horizontal="center" vertical="center"/>
    </xf>
    <xf numFmtId="1" fontId="12" fillId="25" borderId="8" xfId="2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44" fontId="1" fillId="5" borderId="0" xfId="1" applyFont="1" applyFill="1" applyBorder="1" applyAlignment="1">
      <alignment horizontal="left" vertical="center" wrapText="1"/>
    </xf>
    <xf numFmtId="9" fontId="1" fillId="5" borderId="0" xfId="2" applyFont="1" applyFill="1" applyBorder="1" applyAlignment="1">
      <alignment horizontal="center" vertical="center" wrapText="1"/>
    </xf>
    <xf numFmtId="44" fontId="1" fillId="13" borderId="0" xfId="1" applyFont="1" applyFill="1" applyBorder="1" applyAlignment="1">
      <alignment horizontal="left" vertical="center" wrapText="1"/>
    </xf>
    <xf numFmtId="9" fontId="1" fillId="13" borderId="0" xfId="2" applyFont="1" applyFill="1" applyBorder="1" applyAlignment="1">
      <alignment horizontal="center" vertical="center" wrapText="1"/>
    </xf>
    <xf numFmtId="9" fontId="1" fillId="26" borderId="0" xfId="2" applyFont="1" applyFill="1" applyBorder="1" applyAlignment="1">
      <alignment horizontal="center" vertical="center" wrapText="1"/>
    </xf>
    <xf numFmtId="10" fontId="0" fillId="26" borderId="0" xfId="2" applyNumberFormat="1" applyFont="1" applyFill="1" applyAlignment="1">
      <alignment horizontal="center"/>
    </xf>
    <xf numFmtId="0" fontId="1" fillId="26" borderId="0" xfId="0" applyFont="1" applyFill="1" applyAlignment="1">
      <alignment horizontal="center" vertical="center" wrapText="1"/>
    </xf>
    <xf numFmtId="164" fontId="1" fillId="26" borderId="0" xfId="0" applyNumberFormat="1" applyFont="1" applyFill="1" applyAlignment="1">
      <alignment horizontal="center" vertical="center" wrapText="1"/>
    </xf>
    <xf numFmtId="44" fontId="1" fillId="26" borderId="0" xfId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44" fontId="1" fillId="3" borderId="0" xfId="1" applyFont="1" applyFill="1" applyBorder="1" applyAlignment="1">
      <alignment horizontal="left" vertical="center" wrapText="1"/>
    </xf>
    <xf numFmtId="9" fontId="1" fillId="3" borderId="0" xfId="2" applyFont="1" applyFill="1" applyBorder="1" applyAlignment="1">
      <alignment horizontal="center" vertical="center" wrapText="1"/>
    </xf>
    <xf numFmtId="10" fontId="0" fillId="3" borderId="0" xfId="2" applyNumberFormat="1" applyFont="1" applyFill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4" fontId="1" fillId="0" borderId="0" xfId="1" applyFont="1" applyFill="1" applyBorder="1" applyAlignment="1">
      <alignment horizontal="left" vertical="center" wrapText="1"/>
    </xf>
    <xf numFmtId="10" fontId="1" fillId="0" borderId="0" xfId="2" applyNumberFormat="1" applyFont="1" applyFill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44" fontId="1" fillId="6" borderId="0" xfId="1" applyFont="1" applyFill="1" applyBorder="1" applyAlignment="1">
      <alignment horizontal="left" vertical="center" wrapText="1"/>
    </xf>
    <xf numFmtId="9" fontId="1" fillId="6" borderId="0" xfId="2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6" borderId="0" xfId="2" applyNumberFormat="1" applyFont="1" applyFill="1" applyAlignment="1">
      <alignment horizontal="center"/>
    </xf>
    <xf numFmtId="0" fontId="5" fillId="2" borderId="0" xfId="0" applyFont="1" applyFill="1"/>
    <xf numFmtId="0" fontId="5" fillId="11" borderId="0" xfId="0" applyFont="1" applyFill="1"/>
    <xf numFmtId="0" fontId="5" fillId="13" borderId="0" xfId="0" applyFont="1" applyFill="1"/>
    <xf numFmtId="0" fontId="1" fillId="9" borderId="0" xfId="0" applyFont="1" applyFill="1"/>
    <xf numFmtId="9" fontId="4" fillId="9" borderId="0" xfId="2" applyFont="1" applyFill="1" applyAlignment="1">
      <alignment horizontal="center"/>
    </xf>
    <xf numFmtId="0" fontId="14" fillId="0" borderId="4" xfId="0" applyFont="1" applyBorder="1" applyAlignment="1">
      <alignment horizontal="right" vertical="center"/>
    </xf>
    <xf numFmtId="0" fontId="14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165" fontId="1" fillId="15" borderId="0" xfId="0" applyNumberFormat="1" applyFont="1" applyFill="1" applyAlignment="1">
      <alignment horizontal="center" vertical="center" wrapText="1"/>
    </xf>
    <xf numFmtId="165" fontId="1" fillId="14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5" fontId="1" fillId="18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11" borderId="0" xfId="0" applyNumberFormat="1" applyFill="1" applyAlignment="1">
      <alignment horizontal="center"/>
    </xf>
    <xf numFmtId="165" fontId="4" fillId="10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4" fillId="17" borderId="0" xfId="0" applyNumberFormat="1" applyFont="1" applyFill="1" applyAlignment="1">
      <alignment horizontal="center"/>
    </xf>
    <xf numFmtId="165" fontId="1" fillId="16" borderId="0" xfId="0" applyNumberFormat="1" applyFont="1" applyFill="1" applyAlignment="1">
      <alignment horizontal="center"/>
    </xf>
    <xf numFmtId="165" fontId="1" fillId="13" borderId="0" xfId="0" applyNumberFormat="1" applyFont="1" applyFill="1" applyAlignment="1">
      <alignment horizontal="center"/>
    </xf>
    <xf numFmtId="165" fontId="1" fillId="17" borderId="0" xfId="0" applyNumberFormat="1" applyFont="1" applyFill="1" applyAlignment="1">
      <alignment horizontal="center"/>
    </xf>
    <xf numFmtId="165" fontId="0" fillId="9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165" fontId="1" fillId="11" borderId="0" xfId="0" applyNumberFormat="1" applyFon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21" borderId="0" xfId="0" applyNumberFormat="1" applyFill="1" applyAlignment="1">
      <alignment horizontal="center"/>
    </xf>
    <xf numFmtId="165" fontId="0" fillId="20" borderId="0" xfId="0" applyNumberFormat="1" applyFill="1" applyAlignment="1">
      <alignment horizontal="center"/>
    </xf>
    <xf numFmtId="165" fontId="0" fillId="19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6" fillId="0" borderId="10" xfId="0" applyFont="1" applyBorder="1"/>
    <xf numFmtId="0" fontId="7" fillId="0" borderId="11" xfId="0" applyFont="1" applyBorder="1"/>
    <xf numFmtId="0" fontId="6" fillId="0" borderId="11" xfId="0" applyFont="1" applyBorder="1" applyAlignment="1">
      <alignment horizontal="right"/>
    </xf>
    <xf numFmtId="0" fontId="6" fillId="0" borderId="14" xfId="0" applyFont="1" applyBorder="1"/>
    <xf numFmtId="44" fontId="9" fillId="0" borderId="0" xfId="1" applyFont="1" applyBorder="1" applyAlignment="1">
      <alignment horizontal="right"/>
    </xf>
    <xf numFmtId="44" fontId="1" fillId="0" borderId="0" xfId="1" applyFont="1" applyBorder="1" applyAlignment="1">
      <alignment horizontal="right"/>
    </xf>
    <xf numFmtId="0" fontId="6" fillId="0" borderId="17" xfId="0" applyFont="1" applyBorder="1"/>
    <xf numFmtId="0" fontId="13" fillId="0" borderId="19" xfId="0" applyFont="1" applyBorder="1" applyAlignment="1">
      <alignment horizontal="center"/>
    </xf>
    <xf numFmtId="0" fontId="13" fillId="0" borderId="17" xfId="0" applyFont="1" applyBorder="1"/>
    <xf numFmtId="0" fontId="13" fillId="0" borderId="14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horizontal="right" vertical="center"/>
    </xf>
    <xf numFmtId="0" fontId="14" fillId="8" borderId="18" xfId="0" applyFont="1" applyFill="1" applyBorder="1" applyAlignment="1">
      <alignment horizontal="right" vertical="center"/>
    </xf>
    <xf numFmtId="0" fontId="13" fillId="0" borderId="14" xfId="0" applyFont="1" applyBorder="1"/>
    <xf numFmtId="0" fontId="13" fillId="0" borderId="0" xfId="0" applyFont="1" applyAlignment="1">
      <alignment horizontal="right"/>
    </xf>
    <xf numFmtId="165" fontId="13" fillId="0" borderId="17" xfId="0" applyNumberFormat="1" applyFont="1" applyBorder="1"/>
    <xf numFmtId="0" fontId="14" fillId="0" borderId="19" xfId="0" applyFont="1" applyBorder="1" applyAlignment="1">
      <alignment vertical="center"/>
    </xf>
    <xf numFmtId="0" fontId="6" fillId="0" borderId="23" xfId="0" applyFont="1" applyBorder="1"/>
    <xf numFmtId="0" fontId="6" fillId="0" borderId="24" xfId="0" applyFont="1" applyBorder="1"/>
    <xf numFmtId="0" fontId="6" fillId="0" borderId="24" xfId="0" applyFont="1" applyBorder="1" applyAlignment="1">
      <alignment horizontal="center"/>
    </xf>
    <xf numFmtId="0" fontId="6" fillId="0" borderId="24" xfId="0" applyFont="1" applyBorder="1" applyAlignment="1">
      <alignment horizontal="right"/>
    </xf>
    <xf numFmtId="0" fontId="13" fillId="0" borderId="24" xfId="0" applyFont="1" applyBorder="1"/>
    <xf numFmtId="0" fontId="13" fillId="0" borderId="25" xfId="0" applyFont="1" applyBorder="1"/>
    <xf numFmtId="164" fontId="5" fillId="0" borderId="0" xfId="0" applyNumberFormat="1" applyFont="1"/>
    <xf numFmtId="164" fontId="1" fillId="27" borderId="0" xfId="0" applyNumberFormat="1" applyFont="1" applyFill="1" applyAlignment="1">
      <alignment horizontal="center"/>
    </xf>
    <xf numFmtId="1" fontId="1" fillId="27" borderId="0" xfId="0" applyNumberFormat="1" applyFont="1" applyFill="1" applyAlignment="1">
      <alignment horizontal="center"/>
    </xf>
    <xf numFmtId="0" fontId="1" fillId="26" borderId="0" xfId="0" applyFont="1" applyFill="1" applyAlignment="1">
      <alignment horizontal="left"/>
    </xf>
    <xf numFmtId="0" fontId="1" fillId="26" borderId="0" xfId="0" applyFont="1" applyFill="1" applyAlignment="1">
      <alignment horizontal="center"/>
    </xf>
    <xf numFmtId="165" fontId="1" fillId="26" borderId="0" xfId="0" applyNumberFormat="1" applyFont="1" applyFill="1" applyAlignment="1">
      <alignment horizontal="center"/>
    </xf>
    <xf numFmtId="164" fontId="0" fillId="26" borderId="0" xfId="0" applyNumberFormat="1" applyFill="1" applyAlignment="1">
      <alignment horizontal="center"/>
    </xf>
    <xf numFmtId="44" fontId="0" fillId="26" borderId="0" xfId="0" applyNumberForma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44" fontId="0" fillId="8" borderId="0" xfId="0" applyNumberFormat="1" applyFill="1" applyAlignment="1">
      <alignment horizontal="center"/>
    </xf>
    <xf numFmtId="9" fontId="1" fillId="8" borderId="0" xfId="2" applyFont="1" applyFill="1" applyAlignment="1">
      <alignment horizontal="center"/>
    </xf>
    <xf numFmtId="0" fontId="0" fillId="26" borderId="0" xfId="0" applyFill="1"/>
    <xf numFmtId="10" fontId="13" fillId="27" borderId="3" xfId="2" applyNumberFormat="1" applyFont="1" applyFill="1" applyBorder="1" applyAlignment="1" applyProtection="1">
      <alignment horizontal="center"/>
      <protection locked="0"/>
    </xf>
    <xf numFmtId="10" fontId="13" fillId="27" borderId="7" xfId="2" applyNumberFormat="1" applyFont="1" applyFill="1" applyBorder="1" applyAlignment="1" applyProtection="1">
      <alignment horizontal="center" vertical="center"/>
      <protection locked="0"/>
    </xf>
    <xf numFmtId="1" fontId="12" fillId="27" borderId="7" xfId="2" applyNumberFormat="1" applyFont="1" applyFill="1" applyBorder="1" applyAlignment="1">
      <alignment horizontal="center" vertical="center"/>
    </xf>
    <xf numFmtId="164" fontId="13" fillId="0" borderId="0" xfId="0" applyNumberFormat="1" applyFont="1"/>
    <xf numFmtId="165" fontId="13" fillId="27" borderId="7" xfId="2" applyNumberFormat="1" applyFont="1" applyFill="1" applyBorder="1" applyAlignment="1" applyProtection="1">
      <alignment horizontal="right" vertical="center"/>
      <protection locked="0"/>
    </xf>
    <xf numFmtId="0" fontId="23" fillId="0" borderId="0" xfId="0" applyFont="1"/>
    <xf numFmtId="164" fontId="6" fillId="3" borderId="7" xfId="0" applyNumberFormat="1" applyFont="1" applyFill="1" applyBorder="1"/>
    <xf numFmtId="164" fontId="1" fillId="4" borderId="0" xfId="0" applyNumberFormat="1" applyFont="1" applyFill="1" applyAlignment="1">
      <alignment horizontal="center"/>
    </xf>
    <xf numFmtId="44" fontId="1" fillId="0" borderId="0" xfId="1" applyFont="1" applyFill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44" fontId="1" fillId="0" borderId="0" xfId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27" borderId="0" xfId="0" applyFill="1"/>
    <xf numFmtId="0" fontId="21" fillId="0" borderId="0" xfId="0" applyFont="1"/>
    <xf numFmtId="10" fontId="1" fillId="8" borderId="0" xfId="1" applyNumberFormat="1" applyFont="1" applyFill="1" applyAlignment="1">
      <alignment horizontal="center"/>
    </xf>
    <xf numFmtId="9" fontId="1" fillId="26" borderId="0" xfId="2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4" fontId="1" fillId="0" borderId="0" xfId="1" applyNumberFormat="1" applyFont="1" applyFill="1" applyAlignment="1">
      <alignment horizontal="right"/>
    </xf>
    <xf numFmtId="0" fontId="1" fillId="0" borderId="0" xfId="1" applyNumberFormat="1" applyFont="1" applyFill="1" applyAlignment="1">
      <alignment horizontal="right"/>
    </xf>
    <xf numFmtId="0" fontId="1" fillId="0" borderId="0" xfId="1" applyNumberFormat="1" applyFont="1" applyAlignment="1">
      <alignment horizontal="right"/>
    </xf>
    <xf numFmtId="0" fontId="1" fillId="3" borderId="0" xfId="0" applyFont="1" applyFill="1" applyAlignment="1">
      <alignment horizontal="left" vertical="center" wrapText="1"/>
    </xf>
    <xf numFmtId="0" fontId="1" fillId="26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8" fillId="8" borderId="12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44" fontId="2" fillId="0" borderId="0" xfId="1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22" borderId="0" xfId="0" applyFont="1" applyFill="1" applyAlignment="1">
      <alignment horizontal="center"/>
    </xf>
    <xf numFmtId="0" fontId="6" fillId="22" borderId="17" xfId="0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0" fontId="14" fillId="8" borderId="18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8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12" fillId="24" borderId="18" xfId="0" applyFont="1" applyFill="1" applyBorder="1" applyAlignment="1">
      <alignment horizontal="right" vertical="center"/>
    </xf>
    <xf numFmtId="0" fontId="12" fillId="24" borderId="5" xfId="0" applyFont="1" applyFill="1" applyBorder="1" applyAlignment="1">
      <alignment horizontal="right" vertical="center"/>
    </xf>
    <xf numFmtId="0" fontId="12" fillId="0" borderId="18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164" fontId="12" fillId="0" borderId="19" xfId="0" applyNumberFormat="1" applyFont="1" applyBorder="1" applyAlignment="1">
      <alignment horizontal="right" vertical="center"/>
    </xf>
    <xf numFmtId="164" fontId="12" fillId="0" borderId="7" xfId="0" applyNumberFormat="1" applyFont="1" applyBorder="1" applyAlignment="1">
      <alignment horizontal="right" vertical="center"/>
    </xf>
    <xf numFmtId="0" fontId="12" fillId="25" borderId="3" xfId="0" applyFont="1" applyFill="1" applyBorder="1" applyAlignment="1">
      <alignment horizontal="center" vertical="center" wrapText="1"/>
    </xf>
    <xf numFmtId="0" fontId="12" fillId="25" borderId="4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7">
    <cellStyle name="Moeda" xfId="1" builtinId="4"/>
    <cellStyle name="Moeda_Plan Fin - APURAÇÕES - TECNOPLATING" xfId="5"/>
    <cellStyle name="Moeda_Planilha FPV" xfId="4"/>
    <cellStyle name="Normal" xfId="0" builtinId="0"/>
    <cellStyle name="Porcentagem" xfId="2" builtinId="5"/>
    <cellStyle name="Separador de milhares [0]_AnalResult5_Squalle" xfId="6"/>
    <cellStyle name="Vírgula" xfId="3" builtinId="3"/>
  </cellStyles>
  <dxfs count="0"/>
  <tableStyles count="0" defaultTableStyle="TableStyleMedium2" defaultPivotStyle="PivotStyleLight16"/>
  <colors>
    <mruColors>
      <color rgb="FFFFCCFF"/>
      <color rgb="FFFFCC00"/>
      <color rgb="FFFF99FF"/>
      <color rgb="FF009900"/>
      <color rgb="FFFFFFCC"/>
      <color rgb="FFFFFF66"/>
      <color rgb="FFFFFF00"/>
      <color rgb="FF66FF33"/>
      <color rgb="FF99FF6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Distribuição dos custos dos MATERIAIS por categoria</a:t>
            </a:r>
            <a:endParaRPr lang="pt-BR"/>
          </a:p>
        </c:rich>
      </c:tx>
      <c:layout>
        <c:manualLayout>
          <c:xMode val="edge"/>
          <c:yMode val="edge"/>
          <c:x val="0.24373973351399195"/>
          <c:y val="2.8978210059317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B2-4DD4-BCD8-1FF974363DE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B2-4DD4-BCD8-1FF974363D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B2-4DD4-BCD8-1FF974363DE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B2-4DD4-BCD8-1FF974363DEF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B2-4DD4-BCD8-1FF974363DE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B2-4DD4-BCD8-1FF974363DE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B2-4DD4-BCD8-1FF974363DE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B2-4DD4-BCD8-1FF974363DEF}"/>
              </c:ext>
            </c:extLst>
          </c:dPt>
          <c:dLbls>
            <c:dLbl>
              <c:idx val="0"/>
              <c:layout>
                <c:manualLayout>
                  <c:x val="-1.4259270438743711E-17"/>
                  <c:y val="-0.138347087565332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CB2-4DD4-BCD8-1FF974363DEF}"/>
                </c:ext>
              </c:extLst>
            </c:dLbl>
            <c:dLbl>
              <c:idx val="1"/>
              <c:layout>
                <c:manualLayout>
                  <c:x val="1.5555747450602562E-3"/>
                  <c:y val="-0.162323958649932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CB2-4DD4-BCD8-1FF974363DEF}"/>
                </c:ext>
              </c:extLst>
            </c:dLbl>
            <c:dLbl>
              <c:idx val="2"/>
              <c:layout>
                <c:manualLayout>
                  <c:x val="0"/>
                  <c:y val="-0.129877238718754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CB2-4DD4-BCD8-1FF974363DEF}"/>
                </c:ext>
              </c:extLst>
            </c:dLbl>
            <c:dLbl>
              <c:idx val="3"/>
              <c:layout>
                <c:manualLayout>
                  <c:x val="0"/>
                  <c:y val="-0.214218771819643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CB2-4DD4-BCD8-1FF974363DEF}"/>
                </c:ext>
              </c:extLst>
            </c:dLbl>
            <c:dLbl>
              <c:idx val="4"/>
              <c:layout>
                <c:manualLayout>
                  <c:x val="0"/>
                  <c:y val="-0.22844471261732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1CB2-4DD4-BCD8-1FF974363DEF}"/>
                </c:ext>
              </c:extLst>
            </c:dLbl>
            <c:dLbl>
              <c:idx val="5"/>
              <c:layout>
                <c:manualLayout>
                  <c:x val="0"/>
                  <c:y val="-0.140242012750326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1CB2-4DD4-BCD8-1FF974363DEF}"/>
                </c:ext>
              </c:extLst>
            </c:dLbl>
            <c:dLbl>
              <c:idx val="6"/>
              <c:layout>
                <c:manualLayout>
                  <c:x val="-1.5703955753084968E-3"/>
                  <c:y val="-0.17800348442203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CB2-4DD4-BCD8-1FF974363DEF}"/>
                </c:ext>
              </c:extLst>
            </c:dLbl>
            <c:dLbl>
              <c:idx val="7"/>
              <c:layout>
                <c:manualLayout>
                  <c:x val="0"/>
                  <c:y val="-0.19445442210195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CB2-4DD4-BCD8-1FF974363DEF}"/>
                </c:ext>
              </c:extLst>
            </c:dLbl>
            <c:dLbl>
              <c:idx val="8"/>
              <c:layout>
                <c:manualLayout>
                  <c:x val="-2.2814832701989938E-16"/>
                  <c:y val="-0.208551545325490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CB2-4DD4-BCD8-1FF974363DEF}"/>
                </c:ext>
              </c:extLst>
            </c:dLbl>
            <c:dLbl>
              <c:idx val="9"/>
              <c:layout>
                <c:manualLayout>
                  <c:x val="-1.1407416350994969E-16"/>
                  <c:y val="-0.19525085075606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1CB2-4DD4-BCD8-1FF974363DEF}"/>
                </c:ext>
              </c:extLst>
            </c:dLbl>
            <c:dLbl>
              <c:idx val="10"/>
              <c:layout>
                <c:manualLayout>
                  <c:x val="0"/>
                  <c:y val="-0.131246952914591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C51-4C4C-935B-9ED543E016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MATERIAIS!$A$8:$A$205</c:f>
              <c:strCache>
                <c:ptCount val="18"/>
                <c:pt idx="0">
                  <c:v>CHAPAS DE MDF</c:v>
                </c:pt>
                <c:pt idx="9">
                  <c:v>FITA DE BORDA</c:v>
                </c:pt>
                <c:pt idx="10">
                  <c:v>ACESSÓRIOS</c:v>
                </c:pt>
                <c:pt idx="11">
                  <c:v>PUXADORES</c:v>
                </c:pt>
                <c:pt idx="12">
                  <c:v>FERRAGENS</c:v>
                </c:pt>
                <c:pt idx="13">
                  <c:v>SUPRIMENTOS P/ PRODUÇÃO</c:v>
                </c:pt>
                <c:pt idx="14">
                  <c:v>COMPLEMENTOS</c:v>
                </c:pt>
                <c:pt idx="15">
                  <c:v>TERCERIZAÇÕES</c:v>
                </c:pt>
                <c:pt idx="16">
                  <c:v>VIDROS E ESPELHOS</c:v>
                </c:pt>
                <c:pt idx="17">
                  <c:v>OUTROS</c:v>
                </c:pt>
              </c:strCache>
            </c:strRef>
          </c:cat>
          <c:val>
            <c:numRef>
              <c:f>MATERIAIS!$F$8:$F$205</c:f>
              <c:numCache>
                <c:formatCode>_("R$"* #,##0.00_);_("R$"* \(#,##0.00\);_("R$"*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B2-4DD4-BCD8-1FF974363DEF}"/>
            </c:ext>
          </c:extLst>
        </c:ser>
        <c:ser>
          <c:idx val="1"/>
          <c:order val="1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642507390996453E-17"/>
                  <c:y val="-0.2195802041451461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2651-4242-A524-8FF4B767A5D9}"/>
                </c:ext>
              </c:extLst>
            </c:dLbl>
            <c:dLbl>
              <c:idx val="1"/>
              <c:layout>
                <c:manualLayout>
                  <c:x val="-2.7285014781992905E-17"/>
                  <c:y val="-0.2345515817004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2651-4242-A524-8FF4B767A5D9}"/>
                </c:ext>
              </c:extLst>
            </c:dLbl>
            <c:dLbl>
              <c:idx val="2"/>
              <c:layout>
                <c:manualLayout>
                  <c:x val="-4.4648721786783255E-3"/>
                  <c:y val="-0.244532500070730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2651-4242-A524-8FF4B767A5D9}"/>
                </c:ext>
              </c:extLst>
            </c:dLbl>
            <c:dLbl>
              <c:idx val="3"/>
              <c:layout>
                <c:manualLayout>
                  <c:x val="0"/>
                  <c:y val="-0.294437091921900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2651-4242-A524-8FF4B767A5D9}"/>
                </c:ext>
              </c:extLst>
            </c:dLbl>
            <c:dLbl>
              <c:idx val="4"/>
              <c:layout>
                <c:manualLayout>
                  <c:x val="-4.5933034395750932E-5"/>
                  <c:y val="-0.212401216641281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2651-4242-A524-8FF4B767A5D9}"/>
                </c:ext>
              </c:extLst>
            </c:dLbl>
            <c:dLbl>
              <c:idx val="5"/>
              <c:layout>
                <c:manualLayout>
                  <c:x val="-1.4882907262262176E-3"/>
                  <c:y val="-0.254513418440964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2651-4242-A524-8FF4B767A5D9}"/>
                </c:ext>
              </c:extLst>
            </c:dLbl>
            <c:dLbl>
              <c:idx val="6"/>
              <c:layout>
                <c:manualLayout>
                  <c:x val="-1.4882907262261083E-3"/>
                  <c:y val="-0.254513418440964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2651-4242-A524-8FF4B767A5D9}"/>
                </c:ext>
              </c:extLst>
            </c:dLbl>
            <c:dLbl>
              <c:idx val="7"/>
              <c:layout>
                <c:manualLayout>
                  <c:x val="-1.0914005912797162E-16"/>
                  <c:y val="-0.269484795996315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2651-4242-A524-8FF4B767A5D9}"/>
                </c:ext>
              </c:extLst>
            </c:dLbl>
            <c:dLbl>
              <c:idx val="8"/>
              <c:layout>
                <c:manualLayout>
                  <c:x val="-1.0914005912797162E-16"/>
                  <c:y val="-0.27946571436654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2651-4242-A524-8FF4B767A5D9}"/>
                </c:ext>
              </c:extLst>
            </c:dLbl>
            <c:dLbl>
              <c:idx val="9"/>
              <c:layout>
                <c:manualLayout>
                  <c:x val="1.0914005912797162E-16"/>
                  <c:y val="-0.269484795996315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2651-4242-A524-8FF4B767A5D9}"/>
                </c:ext>
              </c:extLst>
            </c:dLbl>
            <c:dLbl>
              <c:idx val="10"/>
              <c:layout>
                <c:manualLayout>
                  <c:x val="-2.0544093326477753E-3"/>
                  <c:y val="-0.222166277121436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3C51-4C4C-935B-9ED543E016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MATERIAIS!$A$8:$A$205</c:f>
              <c:strCache>
                <c:ptCount val="18"/>
                <c:pt idx="0">
                  <c:v>CHAPAS DE MDF</c:v>
                </c:pt>
                <c:pt idx="9">
                  <c:v>FITA DE BORDA</c:v>
                </c:pt>
                <c:pt idx="10">
                  <c:v>ACESSÓRIOS</c:v>
                </c:pt>
                <c:pt idx="11">
                  <c:v>PUXADORES</c:v>
                </c:pt>
                <c:pt idx="12">
                  <c:v>FERRAGENS</c:v>
                </c:pt>
                <c:pt idx="13">
                  <c:v>SUPRIMENTOS P/ PRODUÇÃO</c:v>
                </c:pt>
                <c:pt idx="14">
                  <c:v>COMPLEMENTOS</c:v>
                </c:pt>
                <c:pt idx="15">
                  <c:v>TERCERIZAÇÕES</c:v>
                </c:pt>
                <c:pt idx="16">
                  <c:v>VIDROS E ESPELHOS</c:v>
                </c:pt>
                <c:pt idx="17">
                  <c:v>OUTROS</c:v>
                </c:pt>
              </c:strCache>
            </c:strRef>
          </c:cat>
          <c:val>
            <c:numRef>
              <c:f>MATERIAIS!$H$8:$H$205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651-4242-A524-8FF4B767A5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6346960"/>
        <c:axId val="186347520"/>
      </c:barChart>
      <c:catAx>
        <c:axId val="18634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7520"/>
        <c:crosses val="autoZero"/>
        <c:auto val="1"/>
        <c:lblAlgn val="ctr"/>
        <c:lblOffset val="100"/>
        <c:noMultiLvlLbl val="0"/>
      </c:catAx>
      <c:valAx>
        <c:axId val="18634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6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Distribuição dos custos dos MATERIAIS - FITA DE BORDA</a:t>
            </a:r>
            <a:endParaRPr lang="pt-BR"/>
          </a:p>
        </c:rich>
      </c:tx>
      <c:layout>
        <c:manualLayout>
          <c:xMode val="edge"/>
          <c:yMode val="edge"/>
          <c:x val="0.247945255400496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A-4E37-AF37-6EBE5738EFA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AA-4E37-AF37-6EBE5738EF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AA-4E37-AF37-6EBE5738EFA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AA-4E37-AF37-6EBE5738EFAB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AA-4E37-AF37-6EBE5738EFA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EAA-4E37-AF37-6EBE5738EFAB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EAA-4E37-AF37-6EBE5738EFA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EAA-4E37-AF37-6EBE5738EFAB}"/>
              </c:ext>
            </c:extLst>
          </c:dPt>
          <c:dLbls>
            <c:dLbl>
              <c:idx val="0"/>
              <c:layout>
                <c:manualLayout>
                  <c:x val="-1.4259270438743711E-17"/>
                  <c:y val="-0.138347087565332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A-4E37-AF37-6EBE5738EFAB}"/>
                </c:ext>
              </c:extLst>
            </c:dLbl>
            <c:dLbl>
              <c:idx val="1"/>
              <c:layout>
                <c:manualLayout>
                  <c:x val="1.5555747450602562E-3"/>
                  <c:y val="-0.162323958649932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AA-4E37-AF37-6EBE5738EFAB}"/>
                </c:ext>
              </c:extLst>
            </c:dLbl>
            <c:dLbl>
              <c:idx val="2"/>
              <c:layout>
                <c:manualLayout>
                  <c:x val="0"/>
                  <c:y val="-0.129877238718754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A-4E37-AF37-6EBE5738EFAB}"/>
                </c:ext>
              </c:extLst>
            </c:dLbl>
            <c:dLbl>
              <c:idx val="3"/>
              <c:layout>
                <c:manualLayout>
                  <c:x val="0"/>
                  <c:y val="-0.214218771819643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AA-4E37-AF37-6EBE5738EFAB}"/>
                </c:ext>
              </c:extLst>
            </c:dLbl>
            <c:dLbl>
              <c:idx val="4"/>
              <c:layout>
                <c:manualLayout>
                  <c:x val="0"/>
                  <c:y val="-0.22844471261732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A-4E37-AF37-6EBE5738EFAB}"/>
                </c:ext>
              </c:extLst>
            </c:dLbl>
            <c:dLbl>
              <c:idx val="5"/>
              <c:layout>
                <c:manualLayout>
                  <c:x val="0"/>
                  <c:y val="-0.140242012750326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AA-4E37-AF37-6EBE5738EFAB}"/>
                </c:ext>
              </c:extLst>
            </c:dLbl>
            <c:dLbl>
              <c:idx val="6"/>
              <c:layout>
                <c:manualLayout>
                  <c:x val="-1.5703955753084968E-3"/>
                  <c:y val="-0.17800348442203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A-4E37-AF37-6EBE5738EFAB}"/>
                </c:ext>
              </c:extLst>
            </c:dLbl>
            <c:dLbl>
              <c:idx val="7"/>
              <c:layout>
                <c:manualLayout>
                  <c:x val="0"/>
                  <c:y val="-0.19445442210195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A-4E37-AF37-6EBE5738EFAB}"/>
                </c:ext>
              </c:extLst>
            </c:dLbl>
            <c:dLbl>
              <c:idx val="8"/>
              <c:layout>
                <c:manualLayout>
                  <c:x val="-2.2814832701989938E-16"/>
                  <c:y val="-0.208551545325490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AA-4E37-AF37-6EBE5738EFAB}"/>
                </c:ext>
              </c:extLst>
            </c:dLbl>
            <c:dLbl>
              <c:idx val="9"/>
              <c:layout>
                <c:manualLayout>
                  <c:x val="-1.1407416350994969E-16"/>
                  <c:y val="-0.19525085075606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AA-4E37-AF37-6EBE5738E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MATERIAIS!$B$26:$B$41</c:f>
            </c:multiLvlStrRef>
          </c:cat>
          <c:val>
            <c:numRef>
              <c:f>MATERIAIS!$F$26:$F$41</c:f>
            </c:numRef>
          </c:val>
          <c:extLst>
            <c:ext xmlns:c16="http://schemas.microsoft.com/office/drawing/2014/chart" uri="{C3380CC4-5D6E-409C-BE32-E72D297353CC}">
              <c16:uniqueId val="{00000012-AEAA-4E37-AF37-6EBE5738EFAB}"/>
            </c:ext>
          </c:extLst>
        </c:ser>
        <c:ser>
          <c:idx val="1"/>
          <c:order val="1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MATERIAIS!$B$26:$B$41</c:f>
            </c:multiLvlStrRef>
          </c:cat>
          <c:val>
            <c:numRef>
              <c:f>MATERIAIS!$H$26:$H$41</c:f>
            </c:numRef>
          </c:val>
          <c:extLst>
            <c:ext xmlns:c16="http://schemas.microsoft.com/office/drawing/2014/chart" uri="{C3380CC4-5D6E-409C-BE32-E72D297353CC}">
              <c16:uniqueId val="{00000013-AEAA-4E37-AF37-6EBE5738EF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6346960"/>
        <c:axId val="186347520"/>
      </c:barChart>
      <c:catAx>
        <c:axId val="18634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7520"/>
        <c:crosses val="autoZero"/>
        <c:auto val="1"/>
        <c:lblAlgn val="ctr"/>
        <c:lblOffset val="100"/>
        <c:noMultiLvlLbl val="0"/>
      </c:catAx>
      <c:valAx>
        <c:axId val="18634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6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Distribuição dos custos dos MATERIAIS - MDF</a:t>
            </a:r>
            <a:endParaRPr lang="pt-BR"/>
          </a:p>
        </c:rich>
      </c:tx>
      <c:layout>
        <c:manualLayout>
          <c:xMode val="edge"/>
          <c:yMode val="edge"/>
          <c:x val="0.247945255400496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0-4177-9B7B-3C5114C25AB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0-4177-9B7B-3C5114C25A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0-4177-9B7B-3C5114C25AB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E0-4177-9B7B-3C5114C25ABD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E0-4177-9B7B-3C5114C25AB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E0-4177-9B7B-3C5114C25ABD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E0-4177-9B7B-3C5114C25AB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E0-4177-9B7B-3C5114C25ABD}"/>
              </c:ext>
            </c:extLst>
          </c:dPt>
          <c:dLbls>
            <c:dLbl>
              <c:idx val="0"/>
              <c:layout>
                <c:manualLayout>
                  <c:x val="-1.4259270438743711E-17"/>
                  <c:y val="-0.138347087565332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E0-4177-9B7B-3C5114C25ABD}"/>
                </c:ext>
              </c:extLst>
            </c:dLbl>
            <c:dLbl>
              <c:idx val="1"/>
              <c:layout>
                <c:manualLayout>
                  <c:x val="1.5555747450602562E-3"/>
                  <c:y val="-0.162323958649932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E0-4177-9B7B-3C5114C25ABD}"/>
                </c:ext>
              </c:extLst>
            </c:dLbl>
            <c:dLbl>
              <c:idx val="2"/>
              <c:layout>
                <c:manualLayout>
                  <c:x val="0"/>
                  <c:y val="-0.129877238718754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E0-4177-9B7B-3C5114C25ABD}"/>
                </c:ext>
              </c:extLst>
            </c:dLbl>
            <c:dLbl>
              <c:idx val="3"/>
              <c:layout>
                <c:manualLayout>
                  <c:x val="0"/>
                  <c:y val="-0.214218771819643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E0-4177-9B7B-3C5114C25ABD}"/>
                </c:ext>
              </c:extLst>
            </c:dLbl>
            <c:dLbl>
              <c:idx val="4"/>
              <c:layout>
                <c:manualLayout>
                  <c:x val="0"/>
                  <c:y val="-0.22844471261732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E0-4177-9B7B-3C5114C25ABD}"/>
                </c:ext>
              </c:extLst>
            </c:dLbl>
            <c:dLbl>
              <c:idx val="5"/>
              <c:layout>
                <c:manualLayout>
                  <c:x val="0"/>
                  <c:y val="-0.140242012750326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E0-4177-9B7B-3C5114C25ABD}"/>
                </c:ext>
              </c:extLst>
            </c:dLbl>
            <c:dLbl>
              <c:idx val="6"/>
              <c:layout>
                <c:manualLayout>
                  <c:x val="-1.5703955753084968E-3"/>
                  <c:y val="-0.17800348442203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E0-4177-9B7B-3C5114C25ABD}"/>
                </c:ext>
              </c:extLst>
            </c:dLbl>
            <c:dLbl>
              <c:idx val="7"/>
              <c:layout>
                <c:manualLayout>
                  <c:x val="0"/>
                  <c:y val="-0.19445442210195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E0-4177-9B7B-3C5114C25ABD}"/>
                </c:ext>
              </c:extLst>
            </c:dLbl>
            <c:dLbl>
              <c:idx val="8"/>
              <c:layout>
                <c:manualLayout>
                  <c:x val="-2.2814832701989938E-16"/>
                  <c:y val="-0.208551545325490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4E0-4177-9B7B-3C5114C25ABD}"/>
                </c:ext>
              </c:extLst>
            </c:dLbl>
            <c:dLbl>
              <c:idx val="9"/>
              <c:layout>
                <c:manualLayout>
                  <c:x val="-1.1407416350994969E-16"/>
                  <c:y val="-0.19525085075606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E0-4177-9B7B-3C5114C25A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MATERIAIS!$B$168:$B$169</c:f>
            </c:multiLvlStrRef>
          </c:cat>
          <c:val>
            <c:numRef>
              <c:f>MATERIAIS!$F$168:$F$169</c:f>
            </c:numRef>
          </c:val>
          <c:extLst>
            <c:ext xmlns:c16="http://schemas.microsoft.com/office/drawing/2014/chart" uri="{C3380CC4-5D6E-409C-BE32-E72D297353CC}">
              <c16:uniqueId val="{00000012-84E0-4177-9B7B-3C5114C25ABD}"/>
            </c:ext>
          </c:extLst>
        </c:ser>
        <c:ser>
          <c:idx val="1"/>
          <c:order val="1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MATERIAIS!$B$168:$B$169</c:f>
            </c:multiLvlStrRef>
          </c:cat>
          <c:val>
            <c:numRef>
              <c:f>MATERIAIS!$H$168:$H$169</c:f>
            </c:numRef>
          </c:val>
          <c:extLst>
            <c:ext xmlns:c16="http://schemas.microsoft.com/office/drawing/2014/chart" uri="{C3380CC4-5D6E-409C-BE32-E72D297353CC}">
              <c16:uniqueId val="{00000013-84E0-4177-9B7B-3C5114C25A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6346960"/>
        <c:axId val="186347520"/>
      </c:barChart>
      <c:catAx>
        <c:axId val="18634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7520"/>
        <c:crosses val="autoZero"/>
        <c:auto val="1"/>
        <c:lblAlgn val="ctr"/>
        <c:lblOffset val="100"/>
        <c:noMultiLvlLbl val="0"/>
      </c:catAx>
      <c:valAx>
        <c:axId val="18634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6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Distribuição dos custos DE PRODUÇÃO</a:t>
            </a:r>
          </a:p>
        </c:rich>
      </c:tx>
      <c:layout>
        <c:manualLayout>
          <c:xMode val="edge"/>
          <c:yMode val="edge"/>
          <c:x val="0.33590867667966806"/>
          <c:y val="9.96555214651715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5-4616-B543-B1DE2F6A276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5-4616-B543-B1DE2F6A276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15-4616-B543-B1DE2F6A276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15-4616-B543-B1DE2F6A2766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15-4616-B543-B1DE2F6A276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D15-4616-B543-B1DE2F6A2766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D15-4616-B543-B1DE2F6A276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D15-4616-B543-B1DE2F6A2766}"/>
              </c:ext>
            </c:extLst>
          </c:dPt>
          <c:dLbls>
            <c:dLbl>
              <c:idx val="0"/>
              <c:layout>
                <c:manualLayout>
                  <c:x val="-1.4259270438743711E-17"/>
                  <c:y val="-0.138347087565332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15-4616-B543-B1DE2F6A2766}"/>
                </c:ext>
              </c:extLst>
            </c:dLbl>
            <c:dLbl>
              <c:idx val="1"/>
              <c:layout>
                <c:manualLayout>
                  <c:x val="1.5555747450602562E-3"/>
                  <c:y val="-0.162323958649932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15-4616-B543-B1DE2F6A2766}"/>
                </c:ext>
              </c:extLst>
            </c:dLbl>
            <c:dLbl>
              <c:idx val="2"/>
              <c:layout>
                <c:manualLayout>
                  <c:x val="0"/>
                  <c:y val="-0.129877238718754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15-4616-B543-B1DE2F6A2766}"/>
                </c:ext>
              </c:extLst>
            </c:dLbl>
            <c:dLbl>
              <c:idx val="3"/>
              <c:layout>
                <c:manualLayout>
                  <c:x val="0"/>
                  <c:y val="-0.214218771819643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15-4616-B543-B1DE2F6A2766}"/>
                </c:ext>
              </c:extLst>
            </c:dLbl>
            <c:dLbl>
              <c:idx val="4"/>
              <c:layout>
                <c:manualLayout>
                  <c:x val="0"/>
                  <c:y val="-0.22844471261732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15-4616-B543-B1DE2F6A2766}"/>
                </c:ext>
              </c:extLst>
            </c:dLbl>
            <c:dLbl>
              <c:idx val="5"/>
              <c:layout>
                <c:manualLayout>
                  <c:x val="0"/>
                  <c:y val="-0.140242012750326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15-4616-B543-B1DE2F6A2766}"/>
                </c:ext>
              </c:extLst>
            </c:dLbl>
            <c:dLbl>
              <c:idx val="6"/>
              <c:layout>
                <c:manualLayout>
                  <c:x val="-1.5703955753084968E-3"/>
                  <c:y val="-0.17800348442203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15-4616-B543-B1DE2F6A2766}"/>
                </c:ext>
              </c:extLst>
            </c:dLbl>
            <c:dLbl>
              <c:idx val="7"/>
              <c:layout>
                <c:manualLayout>
                  <c:x val="0"/>
                  <c:y val="-0.19445442210195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15-4616-B543-B1DE2F6A2766}"/>
                </c:ext>
              </c:extLst>
            </c:dLbl>
            <c:dLbl>
              <c:idx val="8"/>
              <c:layout>
                <c:manualLayout>
                  <c:x val="-2.2814832701989938E-16"/>
                  <c:y val="-0.208551545325490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D15-4616-B543-B1DE2F6A2766}"/>
                </c:ext>
              </c:extLst>
            </c:dLbl>
            <c:dLbl>
              <c:idx val="9"/>
              <c:layout>
                <c:manualLayout>
                  <c:x val="-1.1407416350994969E-16"/>
                  <c:y val="-0.19525085075606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15-4616-B543-B1DE2F6A27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'PRODUÇÃO E MONTAGEM'!$A$9:$A$40</c:f>
              <c:strCache>
                <c:ptCount val="30"/>
                <c:pt idx="0">
                  <c:v>AJUSTE DE PROJETO</c:v>
                </c:pt>
                <c:pt idx="5">
                  <c:v>CARREGAMENTO E ORGANIZAÇÃO</c:v>
                </c:pt>
                <c:pt idx="10">
                  <c:v>PRODUÇÃO EMPRESA</c:v>
                </c:pt>
                <c:pt idx="22">
                  <c:v>MONTAGEM CASA DO CLIENTE</c:v>
                </c:pt>
                <c:pt idx="29">
                  <c:v>REGULAGENS + ASSISTÊNCIA TÉCNICA</c:v>
                </c:pt>
              </c:strCache>
            </c:strRef>
          </c:cat>
          <c:val>
            <c:numRef>
              <c:f>'PRODUÇÃO E MONTAGEM'!$B$9:$B$40</c:f>
              <c:numCache>
                <c:formatCode>General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15-4616-B543-B1DE2F6A2766}"/>
            </c:ext>
          </c:extLst>
        </c:ser>
        <c:ser>
          <c:idx val="1"/>
          <c:order val="1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6A8-47E4-9490-CD0F911EFD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16A8-47E4-9490-CD0F911EFD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6A8-47E4-9490-CD0F911EFD08}"/>
              </c:ext>
            </c:extLst>
          </c:dPt>
          <c:dPt>
            <c:idx val="4"/>
            <c:invertIfNegative val="0"/>
            <c:bubble3D val="0"/>
            <c:spPr>
              <a:solidFill>
                <a:srgbClr val="FF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16A8-47E4-9490-CD0F911EFD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'PRODUÇÃO E MONTAGEM'!$A$9:$A$40</c:f>
              <c:strCache>
                <c:ptCount val="30"/>
                <c:pt idx="0">
                  <c:v>AJUSTE DE PROJETO</c:v>
                </c:pt>
                <c:pt idx="5">
                  <c:v>CARREGAMENTO E ORGANIZAÇÃO</c:v>
                </c:pt>
                <c:pt idx="10">
                  <c:v>PRODUÇÃO EMPRESA</c:v>
                </c:pt>
                <c:pt idx="22">
                  <c:v>MONTAGEM CASA DO CLIENTE</c:v>
                </c:pt>
                <c:pt idx="29">
                  <c:v>REGULAGENS + ASSISTÊNCIA TÉCNICA</c:v>
                </c:pt>
              </c:strCache>
            </c:strRef>
          </c:cat>
          <c:val>
            <c:numRef>
              <c:f>'PRODUÇÃO E MONTAGEM'!$F$9:$F$40</c:f>
              <c:numCache>
                <c:formatCode>_("R$"* #,##0.00_);_("R$"* \(#,##0.00\);_("R$"* "-"??_);_(@_)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6A8-47E4-9490-CD0F911EFD08}"/>
            </c:ext>
          </c:extLst>
        </c:ser>
        <c:ser>
          <c:idx val="2"/>
          <c:order val="2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6A8-47E4-9490-CD0F911EFD08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16A8-47E4-9490-CD0F911EFD08}"/>
              </c:ext>
            </c:extLst>
          </c:dPt>
          <c:dLbls>
            <c:dLbl>
              <c:idx val="0"/>
              <c:layout>
                <c:manualLayout>
                  <c:x val="-2.0149444864456101E-17"/>
                  <c:y val="-0.101600774101136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6A8-47E4-9490-CD0F911EFD08}"/>
                </c:ext>
              </c:extLst>
            </c:dLbl>
            <c:dLbl>
              <c:idx val="1"/>
              <c:layout>
                <c:manualLayout>
                  <c:x val="1.0989002429990543E-3"/>
                  <c:y val="-0.435431889004868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6A8-47E4-9490-CD0F911EFD08}"/>
                </c:ext>
              </c:extLst>
            </c:dLbl>
            <c:dLbl>
              <c:idx val="2"/>
              <c:layout>
                <c:manualLayout>
                  <c:x val="-1.0990733254125857E-3"/>
                  <c:y val="-0.285449793903191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6A8-47E4-9490-CD0F911EFD08}"/>
                </c:ext>
              </c:extLst>
            </c:dLbl>
            <c:dLbl>
              <c:idx val="3"/>
              <c:layout>
                <c:manualLayout>
                  <c:x val="-2.1981466508250104E-3"/>
                  <c:y val="-0.285449793903191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16A8-47E4-9490-CD0F911EFD08}"/>
                </c:ext>
              </c:extLst>
            </c:dLbl>
            <c:dLbl>
              <c:idx val="4"/>
              <c:layout>
                <c:manualLayout>
                  <c:x val="0"/>
                  <c:y val="-0.459622549505139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6A8-47E4-9490-CD0F911EF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'PRODUÇÃO E MONTAGEM'!$A$9:$A$40</c:f>
              <c:strCache>
                <c:ptCount val="30"/>
                <c:pt idx="0">
                  <c:v>AJUSTE DE PROJETO</c:v>
                </c:pt>
                <c:pt idx="5">
                  <c:v>CARREGAMENTO E ORGANIZAÇÃO</c:v>
                </c:pt>
                <c:pt idx="10">
                  <c:v>PRODUÇÃO EMPRESA</c:v>
                </c:pt>
                <c:pt idx="22">
                  <c:v>MONTAGEM CASA DO CLIENTE</c:v>
                </c:pt>
                <c:pt idx="29">
                  <c:v>REGULAGENS + ASSISTÊNCIA TÉCNICA</c:v>
                </c:pt>
              </c:strCache>
            </c:strRef>
          </c:cat>
          <c:val>
            <c:numRef>
              <c:f>'PRODUÇÃO E MONTAGEM'!$H$9:$H$40</c:f>
              <c:numCache>
                <c:formatCode>0.00%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6A8-47E4-9490-CD0F911EFD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6346960"/>
        <c:axId val="186347520"/>
      </c:barChart>
      <c:catAx>
        <c:axId val="18634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7520"/>
        <c:crosses val="autoZero"/>
        <c:auto val="1"/>
        <c:lblAlgn val="ctr"/>
        <c:lblOffset val="100"/>
        <c:noMultiLvlLbl val="0"/>
      </c:catAx>
      <c:valAx>
        <c:axId val="18634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6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19050</xdr:rowOff>
    </xdr:from>
    <xdr:to>
      <xdr:col>2</xdr:col>
      <xdr:colOff>390525</xdr:colOff>
      <xdr:row>3</xdr:row>
      <xdr:rowOff>159513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31B441F-E2AC-44A3-AB3F-6399239F56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30" b="20940"/>
        <a:stretch/>
      </xdr:blipFill>
      <xdr:spPr>
        <a:xfrm>
          <a:off x="180975" y="19050"/>
          <a:ext cx="1685925" cy="721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13489</xdr:colOff>
      <xdr:row>207</xdr:row>
      <xdr:rowOff>179294</xdr:rowOff>
    </xdr:from>
    <xdr:to>
      <xdr:col>8</xdr:col>
      <xdr:colOff>4383</xdr:colOff>
      <xdr:row>221</xdr:row>
      <xdr:rowOff>141856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8</xdr:col>
      <xdr:colOff>180975</xdr:colOff>
      <xdr:row>88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1F7D897-793B-47FD-BF14-20E724B07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175</xdr:row>
      <xdr:rowOff>0</xdr:rowOff>
    </xdr:from>
    <xdr:to>
      <xdr:col>8</xdr:col>
      <xdr:colOff>180975</xdr:colOff>
      <xdr:row>175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A16CF63-55EE-4A4F-823D-EF7820754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16565</xdr:colOff>
      <xdr:row>0</xdr:row>
      <xdr:rowOff>91109</xdr:rowOff>
    </xdr:from>
    <xdr:to>
      <xdr:col>1</xdr:col>
      <xdr:colOff>1702490</xdr:colOff>
      <xdr:row>4</xdr:row>
      <xdr:rowOff>34032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10FFE6B-35E7-4D5C-8429-30ECCFCAC4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30" b="20940"/>
        <a:stretch/>
      </xdr:blipFill>
      <xdr:spPr>
        <a:xfrm>
          <a:off x="198782" y="91109"/>
          <a:ext cx="1685925" cy="7214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97119</xdr:colOff>
      <xdr:row>43</xdr:row>
      <xdr:rowOff>34583</xdr:rowOff>
    </xdr:from>
    <xdr:to>
      <xdr:col>7</xdr:col>
      <xdr:colOff>619873</xdr:colOff>
      <xdr:row>56</xdr:row>
      <xdr:rowOff>183063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1C247B-7FE7-48DE-863C-C1009AF73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132522</xdr:colOff>
      <xdr:row>0</xdr:row>
      <xdr:rowOff>157370</xdr:rowOff>
    </xdr:from>
    <xdr:to>
      <xdr:col>1</xdr:col>
      <xdr:colOff>1818447</xdr:colOff>
      <xdr:row>4</xdr:row>
      <xdr:rowOff>100293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3E9F27C-EDAC-4649-9E85-D29FE548D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30" b="20940"/>
        <a:stretch/>
      </xdr:blipFill>
      <xdr:spPr>
        <a:xfrm>
          <a:off x="314739" y="157370"/>
          <a:ext cx="1685925" cy="721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olz%20Forma&#231;&#227;o%20de%20Pre&#231;o%20dos%20Produtos\Forma&#231;&#227;o%20de%20Custo%20dos%20Produtos\Centro%20de%20Custos%20Produ&#231;&#227;o%20-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 DE CUSTOS  POR PROCESSO"/>
      <sheetName val="GERAL"/>
      <sheetName val="CUSTOS"/>
      <sheetName val="SECCIONADORA"/>
      <sheetName val="SEPARAÇÃO E CONFERÊNCIA"/>
      <sheetName val="UNIÃO E ENGROSSO"/>
      <sheetName val="CUSTO COLADEIRA"/>
      <sheetName val="COLAGEM MANUAL"/>
      <sheetName val="LIMPEZA E SEPARAÇÃO"/>
      <sheetName val="CANAL"/>
      <sheetName val="USINAGEM"/>
      <sheetName val="F200"/>
      <sheetName val="HETTICH"/>
      <sheetName val="AGREGADOS E COMPONENTES"/>
      <sheetName val="MONTAGEM"/>
      <sheetName val="EMBALAGEM"/>
      <sheetName val="MONTAGEM E ASSISTÊNCIA"/>
      <sheetName val="Reunião 4 Oper. "/>
      <sheetName val="CENTRO DE CUSTOS - 24.11.15"/>
    </sheetNames>
    <sheetDataSet>
      <sheetData sheetId="0">
        <row r="8">
          <cell r="F8">
            <v>1.3020833333333332E-2</v>
          </cell>
        </row>
      </sheetData>
      <sheetData sheetId="1">
        <row r="3">
          <cell r="G3">
            <v>39.947000000000003</v>
          </cell>
        </row>
        <row r="4">
          <cell r="G4">
            <v>30.123374999999999</v>
          </cell>
        </row>
        <row r="5">
          <cell r="G5">
            <v>30.500499999999999</v>
          </cell>
        </row>
        <row r="6">
          <cell r="G6">
            <v>12.125500000000001</v>
          </cell>
        </row>
        <row r="7">
          <cell r="G7">
            <v>18.375</v>
          </cell>
        </row>
        <row r="8">
          <cell r="G8">
            <v>12.125500000000001</v>
          </cell>
        </row>
        <row r="9">
          <cell r="G9">
            <v>37.345030000000001</v>
          </cell>
        </row>
        <row r="10">
          <cell r="G10">
            <v>55.720030000000001</v>
          </cell>
        </row>
        <row r="11">
          <cell r="G11">
            <v>12.125500000000001</v>
          </cell>
        </row>
        <row r="12">
          <cell r="G12">
            <v>29.386624999999999</v>
          </cell>
        </row>
        <row r="13">
          <cell r="G13">
            <v>11.011625</v>
          </cell>
        </row>
        <row r="14">
          <cell r="G14">
            <v>18.375</v>
          </cell>
        </row>
        <row r="15">
          <cell r="G15">
            <v>38.881749999999997</v>
          </cell>
        </row>
        <row r="16">
          <cell r="G16">
            <v>30.500499999999999</v>
          </cell>
        </row>
        <row r="17">
          <cell r="G17">
            <v>19.562999999999999</v>
          </cell>
        </row>
        <row r="18">
          <cell r="G18">
            <v>21.5745</v>
          </cell>
        </row>
        <row r="19">
          <cell r="G19">
            <v>32.512</v>
          </cell>
        </row>
        <row r="20">
          <cell r="G20">
            <v>12.202</v>
          </cell>
        </row>
        <row r="21">
          <cell r="G21">
            <v>22.025624999999998</v>
          </cell>
        </row>
        <row r="22">
          <cell r="G22">
            <v>12.971499999999999</v>
          </cell>
        </row>
        <row r="23">
          <cell r="G23">
            <v>39.730125000000001</v>
          </cell>
        </row>
        <row r="25">
          <cell r="G25">
            <v>28.792625000000001</v>
          </cell>
        </row>
        <row r="26">
          <cell r="G26">
            <v>18.375</v>
          </cell>
        </row>
        <row r="28">
          <cell r="G28">
            <v>11.531499999999999</v>
          </cell>
        </row>
        <row r="30">
          <cell r="G30">
            <v>29.386624999999999</v>
          </cell>
        </row>
        <row r="31">
          <cell r="G31">
            <v>11.011625</v>
          </cell>
        </row>
        <row r="32">
          <cell r="G32">
            <v>36.75</v>
          </cell>
        </row>
        <row r="33">
          <cell r="G33">
            <v>29.3125</v>
          </cell>
        </row>
        <row r="34">
          <cell r="G34">
            <v>28.198625</v>
          </cell>
        </row>
        <row r="35">
          <cell r="G35">
            <v>18.375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8">
          <cell r="H8" t="str">
            <v>CHAPA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I15"/>
  <sheetViews>
    <sheetView tabSelected="1" topLeftCell="A2" zoomScale="200" zoomScaleNormal="200" workbookViewId="0">
      <selection activeCell="C6" sqref="C6"/>
    </sheetView>
  </sheetViews>
  <sheetFormatPr defaultRowHeight="15" x14ac:dyDescent="0.25"/>
  <cols>
    <col min="1" max="1" width="18.140625" customWidth="1"/>
    <col min="2" max="2" width="4" customWidth="1"/>
    <col min="3" max="3" width="26.7109375" customWidth="1"/>
    <col min="4" max="4" width="17.7109375" customWidth="1"/>
    <col min="5" max="5" width="16.85546875" customWidth="1"/>
    <col min="6" max="6" width="16.28515625" customWidth="1"/>
  </cols>
  <sheetData>
    <row r="1" spans="1:9" x14ac:dyDescent="0.25">
      <c r="E1" s="1"/>
      <c r="F1" s="334"/>
      <c r="G1" s="376"/>
      <c r="H1" s="57"/>
      <c r="I1" s="377"/>
    </row>
    <row r="2" spans="1:9" ht="15.75" x14ac:dyDescent="0.25">
      <c r="C2" s="385" t="s">
        <v>56</v>
      </c>
      <c r="D2" s="385"/>
      <c r="E2" s="385"/>
      <c r="F2" s="334"/>
      <c r="G2" s="378"/>
      <c r="H2" s="97"/>
      <c r="I2" s="377"/>
    </row>
    <row r="3" spans="1:9" x14ac:dyDescent="0.25">
      <c r="D3" s="16" t="s">
        <v>260</v>
      </c>
      <c r="E3" s="328" t="s">
        <v>259</v>
      </c>
      <c r="F3" s="334"/>
      <c r="G3" s="378"/>
      <c r="H3" s="97"/>
      <c r="I3" s="377"/>
    </row>
    <row r="4" spans="1:9" x14ac:dyDescent="0.25">
      <c r="D4" s="379" t="s">
        <v>250</v>
      </c>
      <c r="E4" s="155" t="s">
        <v>256</v>
      </c>
      <c r="F4" s="16"/>
      <c r="G4" s="378"/>
      <c r="H4" s="97"/>
      <c r="I4" s="377"/>
    </row>
    <row r="5" spans="1:9" x14ac:dyDescent="0.25">
      <c r="A5" s="380" t="s">
        <v>45</v>
      </c>
      <c r="B5" s="380"/>
      <c r="C5" s="381" t="s">
        <v>259</v>
      </c>
      <c r="E5" s="1"/>
      <c r="F5" s="16"/>
      <c r="G5" s="378"/>
      <c r="H5" s="97"/>
      <c r="I5" s="377"/>
    </row>
    <row r="6" spans="1:9" x14ac:dyDescent="0.25">
      <c r="A6" s="380" t="s">
        <v>43</v>
      </c>
      <c r="B6" s="380"/>
      <c r="C6" s="381"/>
    </row>
    <row r="7" spans="1:9" x14ac:dyDescent="0.25">
      <c r="A7" s="380" t="s">
        <v>57</v>
      </c>
      <c r="B7" s="380"/>
      <c r="C7" s="381"/>
    </row>
    <row r="8" spans="1:9" x14ac:dyDescent="0.25">
      <c r="A8" s="380" t="s">
        <v>44</v>
      </c>
      <c r="B8" s="380"/>
      <c r="C8" s="381"/>
    </row>
    <row r="9" spans="1:9" x14ac:dyDescent="0.25">
      <c r="A9" s="380" t="s">
        <v>47</v>
      </c>
      <c r="B9" s="380"/>
      <c r="C9" s="381"/>
    </row>
    <row r="15" spans="1:9" x14ac:dyDescent="0.25">
      <c r="C15" s="382"/>
    </row>
  </sheetData>
  <mergeCells count="1">
    <mergeCell ref="C2:E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rgb="FF92D050"/>
    <pageSetUpPr fitToPage="1"/>
  </sheetPr>
  <dimension ref="A1:XDI227"/>
  <sheetViews>
    <sheetView zoomScaleNormal="100" workbookViewId="0">
      <pane ySplit="6" topLeftCell="A7" activePane="bottomLeft" state="frozen"/>
      <selection pane="bottomLeft" activeCell="E11" sqref="E11"/>
    </sheetView>
  </sheetViews>
  <sheetFormatPr defaultRowHeight="15" outlineLevelRow="3" x14ac:dyDescent="0.25"/>
  <cols>
    <col min="1" max="1" width="2.7109375" customWidth="1"/>
    <col min="2" max="2" width="94.140625" customWidth="1"/>
    <col min="3" max="4" width="17.7109375" style="58" customWidth="1"/>
    <col min="5" max="5" width="16.140625" style="7" customWidth="1"/>
    <col min="6" max="6" width="16.140625" style="4" customWidth="1"/>
    <col min="7" max="7" width="14.7109375" style="93" customWidth="1"/>
    <col min="8" max="8" width="9.85546875" style="6" customWidth="1"/>
  </cols>
  <sheetData>
    <row r="1" spans="1:8 16337:16337" x14ac:dyDescent="0.25">
      <c r="F1" s="113" t="s">
        <v>45</v>
      </c>
      <c r="G1" s="387">
        <v>45613</v>
      </c>
      <c r="H1" s="388"/>
    </row>
    <row r="2" spans="1:8 16337:16337" ht="15.75" x14ac:dyDescent="0.25">
      <c r="B2" s="386" t="s">
        <v>42</v>
      </c>
      <c r="C2" s="386"/>
      <c r="D2" s="352"/>
      <c r="F2" s="113" t="s">
        <v>43</v>
      </c>
      <c r="G2" s="389">
        <f>'CADASTRO CLIENTE'!C6</f>
        <v>0</v>
      </c>
      <c r="H2" s="389"/>
    </row>
    <row r="3" spans="1:8 16337:16337" ht="15.75" x14ac:dyDescent="0.25">
      <c r="B3" s="139"/>
      <c r="C3" s="159"/>
      <c r="D3" s="159"/>
      <c r="F3" s="113" t="s">
        <v>57</v>
      </c>
      <c r="G3" s="389">
        <f>'CADASTRO CLIENTE'!C7</f>
        <v>0</v>
      </c>
      <c r="H3" s="389"/>
    </row>
    <row r="4" spans="1:8 16337:16337" x14ac:dyDescent="0.25">
      <c r="B4" s="16" t="s">
        <v>58</v>
      </c>
      <c r="C4" s="328" t="str">
        <f>'CADASTRO CLIENTE'!E3</f>
        <v>10.01.20</v>
      </c>
      <c r="D4" s="262"/>
      <c r="F4" s="113" t="s">
        <v>44</v>
      </c>
      <c r="G4" s="389">
        <f>'CADASTRO CLIENTE'!C8</f>
        <v>0</v>
      </c>
      <c r="H4" s="389"/>
    </row>
    <row r="5" spans="1:8 16337:16337" x14ac:dyDescent="0.25">
      <c r="F5" s="16" t="s">
        <v>47</v>
      </c>
      <c r="G5" s="389">
        <f>'CADASTRO CLIENTE'!C9</f>
        <v>0</v>
      </c>
      <c r="H5" s="389"/>
    </row>
    <row r="6" spans="1:8 16337:16337" ht="45" customHeight="1" x14ac:dyDescent="0.25">
      <c r="A6" s="48"/>
      <c r="B6" s="49" t="s">
        <v>49</v>
      </c>
      <c r="C6" s="136" t="s">
        <v>16</v>
      </c>
      <c r="D6" s="300" t="s">
        <v>84</v>
      </c>
      <c r="E6" s="50" t="s">
        <v>46</v>
      </c>
      <c r="F6" s="50" t="s">
        <v>48</v>
      </c>
      <c r="G6" s="94" t="s">
        <v>13</v>
      </c>
      <c r="H6" s="51" t="s">
        <v>14</v>
      </c>
    </row>
    <row r="7" spans="1:8 16337:16337" ht="16.5" customHeight="1" x14ac:dyDescent="0.25">
      <c r="A7" s="45" t="s">
        <v>8</v>
      </c>
      <c r="B7" s="41"/>
      <c r="C7" s="59"/>
      <c r="D7" s="301"/>
      <c r="E7" s="42"/>
      <c r="F7" s="55">
        <f>F8+F25+F42+F91+F109+F167+F171+F177+F194+F205</f>
        <v>0</v>
      </c>
      <c r="G7" s="95"/>
      <c r="H7" s="112">
        <v>1</v>
      </c>
    </row>
    <row r="8" spans="1:8 16337:16337" ht="15.75" x14ac:dyDescent="0.25">
      <c r="A8" s="292" t="s">
        <v>12</v>
      </c>
      <c r="B8" s="10"/>
      <c r="C8" s="60"/>
      <c r="D8" s="302"/>
      <c r="E8" s="11"/>
      <c r="F8" s="12">
        <f>F9+F15</f>
        <v>0</v>
      </c>
      <c r="G8" s="52">
        <v>1</v>
      </c>
      <c r="H8" s="124" t="e">
        <f t="shared" ref="H8:H13" si="0">F8*$H$7/$F$7</f>
        <v>#DIV/0!</v>
      </c>
    </row>
    <row r="9" spans="1:8 16337:16337" outlineLevel="1" x14ac:dyDescent="0.25">
      <c r="A9" s="65"/>
      <c r="B9" s="66" t="s">
        <v>62</v>
      </c>
      <c r="C9" s="158"/>
      <c r="D9" s="303"/>
      <c r="E9" s="67"/>
      <c r="F9" s="68">
        <f>SUM(F10:F14)</f>
        <v>0</v>
      </c>
      <c r="G9" s="96" t="e">
        <f>F9*$G$8/$F$8</f>
        <v>#DIV/0!</v>
      </c>
      <c r="H9" s="141" t="e">
        <f>F9*$H$7/$F$7</f>
        <v>#DIV/0!</v>
      </c>
    </row>
    <row r="10" spans="1:8 16337:16337" outlineLevel="2" x14ac:dyDescent="0.25">
      <c r="B10" t="s">
        <v>199</v>
      </c>
      <c r="C10" s="58" t="s">
        <v>15</v>
      </c>
      <c r="D10" s="304">
        <v>164</v>
      </c>
      <c r="E10" s="8"/>
      <c r="F10" s="5">
        <f>D10*E10</f>
        <v>0</v>
      </c>
      <c r="G10" s="102" t="e">
        <f t="shared" ref="G10:G13" si="1">F10*$G$8/$F$8</f>
        <v>#DIV/0!</v>
      </c>
      <c r="H10" s="56" t="e">
        <f t="shared" si="0"/>
        <v>#DIV/0!</v>
      </c>
      <c r="XDI10" s="1" t="e">
        <f>SUM(E10:XDH10)</f>
        <v>#DIV/0!</v>
      </c>
    </row>
    <row r="11" spans="1:8 16337:16337" outlineLevel="2" x14ac:dyDescent="0.25">
      <c r="B11" t="s">
        <v>198</v>
      </c>
      <c r="C11" s="58" t="s">
        <v>15</v>
      </c>
      <c r="D11" s="304">
        <v>220</v>
      </c>
      <c r="E11" s="8"/>
      <c r="F11" s="5">
        <f t="shared" ref="F11:F13" si="2">D11*E11</f>
        <v>0</v>
      </c>
      <c r="G11" s="102" t="e">
        <f t="shared" si="1"/>
        <v>#DIV/0!</v>
      </c>
      <c r="H11" s="56" t="e">
        <f t="shared" si="0"/>
        <v>#DIV/0!</v>
      </c>
      <c r="XDI11" s="1" t="e">
        <f>SUM(E11:XDH11)</f>
        <v>#DIV/0!</v>
      </c>
    </row>
    <row r="12" spans="1:8 16337:16337" outlineLevel="2" x14ac:dyDescent="0.25">
      <c r="B12" t="s">
        <v>197</v>
      </c>
      <c r="C12" s="58" t="s">
        <v>15</v>
      </c>
      <c r="D12" s="304">
        <v>0</v>
      </c>
      <c r="E12" s="8">
        <v>0</v>
      </c>
      <c r="F12" s="5">
        <f t="shared" si="2"/>
        <v>0</v>
      </c>
      <c r="G12" s="102" t="e">
        <f t="shared" si="1"/>
        <v>#DIV/0!</v>
      </c>
      <c r="H12" s="56" t="e">
        <f>F12*$H$7/$F$7</f>
        <v>#DIV/0!</v>
      </c>
      <c r="XDI12" s="1" t="e">
        <f>SUM(E12:XDH12)</f>
        <v>#DIV/0!</v>
      </c>
    </row>
    <row r="13" spans="1:8 16337:16337" outlineLevel="2" x14ac:dyDescent="0.25">
      <c r="B13" t="s">
        <v>283</v>
      </c>
      <c r="C13" s="58" t="s">
        <v>15</v>
      </c>
      <c r="D13" s="304">
        <v>320</v>
      </c>
      <c r="E13" s="8"/>
      <c r="F13" s="5">
        <f t="shared" si="2"/>
        <v>0</v>
      </c>
      <c r="G13" s="102" t="e">
        <f t="shared" si="1"/>
        <v>#DIV/0!</v>
      </c>
      <c r="H13" s="56" t="e">
        <f t="shared" si="0"/>
        <v>#DIV/0!</v>
      </c>
      <c r="XDI13" s="1" t="e">
        <f>SUM(E13:XDH13)</f>
        <v>#DIV/0!</v>
      </c>
    </row>
    <row r="14" spans="1:8 16337:16337" outlineLevel="2" x14ac:dyDescent="0.25">
      <c r="D14" s="304"/>
      <c r="G14" s="92"/>
      <c r="H14" s="56"/>
    </row>
    <row r="15" spans="1:8 16337:16337" outlineLevel="1" x14ac:dyDescent="0.25">
      <c r="A15" s="9"/>
      <c r="B15" s="10" t="s">
        <v>200</v>
      </c>
      <c r="C15" s="60"/>
      <c r="D15" s="302"/>
      <c r="E15" s="9"/>
      <c r="F15" s="140">
        <f>SUM(F16:F23)</f>
        <v>0</v>
      </c>
      <c r="G15" s="52" t="e">
        <f>F15*$G$8/$F$8</f>
        <v>#DIV/0!</v>
      </c>
      <c r="H15" s="105" t="e">
        <f>F15*$H$7/$F$7</f>
        <v>#DIV/0!</v>
      </c>
    </row>
    <row r="16" spans="1:8 16337:16337" hidden="1" outlineLevel="2" x14ac:dyDescent="0.25">
      <c r="B16" t="s">
        <v>101</v>
      </c>
      <c r="C16" s="58" t="s">
        <v>15</v>
      </c>
      <c r="D16" s="304">
        <v>250</v>
      </c>
      <c r="E16" s="8">
        <v>0</v>
      </c>
      <c r="F16" s="5">
        <f>D16*E16</f>
        <v>0</v>
      </c>
      <c r="G16" s="102" t="e">
        <f>F16*$G$8/$F$8</f>
        <v>#DIV/0!</v>
      </c>
      <c r="H16" s="56" t="e">
        <f t="shared" ref="H16:H18" si="3">F16*$H$7/$F$7</f>
        <v>#DIV/0!</v>
      </c>
    </row>
    <row r="17" spans="1:8" hidden="1" outlineLevel="2" x14ac:dyDescent="0.25">
      <c r="B17" t="s">
        <v>60</v>
      </c>
      <c r="C17" s="58" t="s">
        <v>15</v>
      </c>
      <c r="D17" s="304">
        <v>400</v>
      </c>
      <c r="E17" s="8"/>
      <c r="F17" s="5">
        <f t="shared" ref="F17:F22" si="4">D17*E17</f>
        <v>0</v>
      </c>
      <c r="G17" s="102" t="e">
        <f>F17*$G$8/$F$8</f>
        <v>#DIV/0!</v>
      </c>
      <c r="H17" s="56" t="e">
        <f t="shared" ref="H17" si="5">F17*$H$7/$F$7</f>
        <v>#DIV/0!</v>
      </c>
    </row>
    <row r="18" spans="1:8" hidden="1" outlineLevel="2" x14ac:dyDescent="0.25">
      <c r="B18" t="s">
        <v>61</v>
      </c>
      <c r="C18" s="58" t="s">
        <v>15</v>
      </c>
      <c r="D18" s="304">
        <v>0</v>
      </c>
      <c r="E18" s="8"/>
      <c r="F18" s="5">
        <f t="shared" si="4"/>
        <v>0</v>
      </c>
      <c r="G18" s="102" t="e">
        <f t="shared" ref="G18" si="6">F18*$G$8/$F$8</f>
        <v>#DIV/0!</v>
      </c>
      <c r="H18" s="56" t="e">
        <f t="shared" si="3"/>
        <v>#DIV/0!</v>
      </c>
    </row>
    <row r="19" spans="1:8" hidden="1" outlineLevel="2" x14ac:dyDescent="0.25">
      <c r="B19" t="s">
        <v>201</v>
      </c>
      <c r="C19" s="58" t="s">
        <v>15</v>
      </c>
      <c r="D19" s="304">
        <v>250</v>
      </c>
      <c r="E19" s="8"/>
      <c r="F19" s="5">
        <f t="shared" si="4"/>
        <v>0</v>
      </c>
      <c r="G19" s="102" t="e">
        <f t="shared" ref="G19" si="7">F19*$G$8/$F$8</f>
        <v>#DIV/0!</v>
      </c>
      <c r="H19" s="56" t="e">
        <f t="shared" ref="H19" si="8">F19*$H$7/$F$7</f>
        <v>#DIV/0!</v>
      </c>
    </row>
    <row r="20" spans="1:8" hidden="1" outlineLevel="2" x14ac:dyDescent="0.25">
      <c r="B20" t="s">
        <v>202</v>
      </c>
      <c r="C20" s="58" t="s">
        <v>15</v>
      </c>
      <c r="D20" s="304">
        <v>400</v>
      </c>
      <c r="E20" s="8"/>
      <c r="F20" s="5">
        <f t="shared" si="4"/>
        <v>0</v>
      </c>
      <c r="G20" s="102" t="e">
        <f t="shared" ref="G20:G21" si="9">F20*$G$8/$F$8</f>
        <v>#DIV/0!</v>
      </c>
      <c r="H20" s="56" t="e">
        <f t="shared" ref="H20:H21" si="10">F20*$H$7/$F$7</f>
        <v>#DIV/0!</v>
      </c>
    </row>
    <row r="21" spans="1:8" hidden="1" outlineLevel="2" x14ac:dyDescent="0.25">
      <c r="B21" t="s">
        <v>203</v>
      </c>
      <c r="C21" s="58" t="s">
        <v>15</v>
      </c>
      <c r="D21" s="304">
        <v>0</v>
      </c>
      <c r="E21" s="8">
        <v>0</v>
      </c>
      <c r="F21" s="5">
        <f t="shared" si="4"/>
        <v>0</v>
      </c>
      <c r="G21" s="102" t="e">
        <f t="shared" si="9"/>
        <v>#DIV/0!</v>
      </c>
      <c r="H21" s="56" t="e">
        <f t="shared" si="10"/>
        <v>#DIV/0!</v>
      </c>
    </row>
    <row r="22" spans="1:8" hidden="1" outlineLevel="2" x14ac:dyDescent="0.25">
      <c r="B22" t="s">
        <v>204</v>
      </c>
      <c r="C22" s="58" t="s">
        <v>15</v>
      </c>
      <c r="D22" s="304">
        <v>0</v>
      </c>
      <c r="E22" s="8">
        <v>0</v>
      </c>
      <c r="F22" s="5">
        <f t="shared" si="4"/>
        <v>0</v>
      </c>
      <c r="G22" s="102" t="e">
        <f t="shared" ref="G22" si="11">F22*$G$8/$F$8</f>
        <v>#DIV/0!</v>
      </c>
      <c r="H22" s="56" t="e">
        <f t="shared" ref="H22" si="12">F22*$H$7/$F$7</f>
        <v>#DIV/0!</v>
      </c>
    </row>
    <row r="23" spans="1:8" hidden="1" outlineLevel="2" x14ac:dyDescent="0.25">
      <c r="D23" s="304"/>
      <c r="G23" s="92"/>
      <c r="H23" s="56"/>
    </row>
    <row r="24" spans="1:8" outlineLevel="1" collapsed="1" x14ac:dyDescent="0.25">
      <c r="D24" s="304"/>
      <c r="E24" s="8"/>
      <c r="F24" s="5"/>
      <c r="G24" s="102"/>
      <c r="H24" s="56"/>
    </row>
    <row r="25" spans="1:8" ht="15.75" x14ac:dyDescent="0.25">
      <c r="A25" s="293" t="s">
        <v>1</v>
      </c>
      <c r="B25" s="32"/>
      <c r="C25" s="137"/>
      <c r="D25" s="305"/>
      <c r="E25" s="26"/>
      <c r="F25" s="69">
        <f>F26+F34</f>
        <v>0</v>
      </c>
      <c r="G25" s="99">
        <v>1</v>
      </c>
      <c r="H25" s="125" t="e">
        <f t="shared" ref="H25:H28" si="13">F25*$H$7/$F$7</f>
        <v>#DIV/0!</v>
      </c>
    </row>
    <row r="26" spans="1:8" hidden="1" outlineLevel="2" x14ac:dyDescent="0.25">
      <c r="A26" s="22"/>
      <c r="B26" s="70" t="s">
        <v>63</v>
      </c>
      <c r="C26" s="162"/>
      <c r="D26" s="306"/>
      <c r="E26" s="24"/>
      <c r="F26" s="71">
        <f>SUM(F27:F33)</f>
        <v>0</v>
      </c>
      <c r="G26" s="103" t="e">
        <f>F26*$G$25/$F$25</f>
        <v>#DIV/0!</v>
      </c>
      <c r="H26" s="107" t="e">
        <f t="shared" si="13"/>
        <v>#DIV/0!</v>
      </c>
    </row>
    <row r="27" spans="1:8" hidden="1" outlineLevel="3" x14ac:dyDescent="0.25">
      <c r="B27" t="s">
        <v>64</v>
      </c>
      <c r="C27" s="58" t="s">
        <v>72</v>
      </c>
      <c r="D27" s="304">
        <v>30</v>
      </c>
      <c r="E27" s="8">
        <v>0</v>
      </c>
      <c r="F27" s="5">
        <f>D27*E27</f>
        <v>0</v>
      </c>
      <c r="G27" s="57" t="e">
        <f t="shared" ref="G27:G28" si="14">F27*$G$25/$F$25</f>
        <v>#DIV/0!</v>
      </c>
      <c r="H27" s="56" t="e">
        <f t="shared" si="13"/>
        <v>#DIV/0!</v>
      </c>
    </row>
    <row r="28" spans="1:8" hidden="1" outlineLevel="3" x14ac:dyDescent="0.25">
      <c r="B28" t="s">
        <v>65</v>
      </c>
      <c r="C28" s="58" t="s">
        <v>72</v>
      </c>
      <c r="D28" s="304">
        <v>0</v>
      </c>
      <c r="E28" s="8">
        <v>0</v>
      </c>
      <c r="F28" s="5">
        <f t="shared" ref="F28:F32" si="15">D28*E28</f>
        <v>0</v>
      </c>
      <c r="G28" s="57" t="e">
        <f t="shared" si="14"/>
        <v>#DIV/0!</v>
      </c>
      <c r="H28" s="56" t="e">
        <f t="shared" si="13"/>
        <v>#DIV/0!</v>
      </c>
    </row>
    <row r="29" spans="1:8" hidden="1" outlineLevel="3" x14ac:dyDescent="0.25">
      <c r="B29" t="s">
        <v>66</v>
      </c>
      <c r="C29" s="58" t="s">
        <v>72</v>
      </c>
      <c r="D29" s="304">
        <v>0</v>
      </c>
      <c r="E29" s="8">
        <v>0</v>
      </c>
      <c r="F29" s="5">
        <f t="shared" si="15"/>
        <v>0</v>
      </c>
      <c r="G29" s="57" t="e">
        <f t="shared" ref="G29" si="16">F29*$G$25/$F$25</f>
        <v>#DIV/0!</v>
      </c>
      <c r="H29" s="56" t="e">
        <f t="shared" ref="H29" si="17">F29*$H$7/$F$7</f>
        <v>#DIV/0!</v>
      </c>
    </row>
    <row r="30" spans="1:8" hidden="1" outlineLevel="3" x14ac:dyDescent="0.25">
      <c r="D30" s="304"/>
      <c r="E30" s="8"/>
      <c r="F30" s="5"/>
      <c r="G30" s="57"/>
      <c r="H30" s="56"/>
    </row>
    <row r="31" spans="1:8" hidden="1" outlineLevel="3" x14ac:dyDescent="0.25">
      <c r="B31" t="s">
        <v>11</v>
      </c>
      <c r="C31" s="58" t="s">
        <v>72</v>
      </c>
      <c r="D31" s="304">
        <v>0</v>
      </c>
      <c r="E31" s="8">
        <v>0</v>
      </c>
      <c r="F31" s="5">
        <f t="shared" si="15"/>
        <v>0</v>
      </c>
      <c r="G31" s="57" t="e">
        <f>F31*$G$25/$F$25</f>
        <v>#DIV/0!</v>
      </c>
      <c r="H31" s="56" t="e">
        <f>F31*$H$7/$F$7</f>
        <v>#DIV/0!</v>
      </c>
    </row>
    <row r="32" spans="1:8" hidden="1" outlineLevel="3" x14ac:dyDescent="0.25">
      <c r="B32" t="s">
        <v>205</v>
      </c>
      <c r="C32" s="58" t="s">
        <v>72</v>
      </c>
      <c r="D32" s="304">
        <v>0</v>
      </c>
      <c r="E32" s="8">
        <v>0</v>
      </c>
      <c r="F32" s="5">
        <f t="shared" si="15"/>
        <v>0</v>
      </c>
      <c r="G32" s="57" t="e">
        <f>F32*$G$25/$F$25</f>
        <v>#DIV/0!</v>
      </c>
      <c r="H32" s="56" t="e">
        <f>F32*$H$7/$F$7</f>
        <v>#DIV/0!</v>
      </c>
    </row>
    <row r="33" spans="1:8" hidden="1" outlineLevel="3" x14ac:dyDescent="0.25">
      <c r="D33" s="304"/>
      <c r="E33" s="8"/>
      <c r="F33" s="5"/>
      <c r="G33" s="57"/>
      <c r="H33" s="56"/>
    </row>
    <row r="34" spans="1:8" hidden="1" outlineLevel="2" collapsed="1" x14ac:dyDescent="0.25">
      <c r="A34" s="18"/>
      <c r="B34" s="72" t="s">
        <v>206</v>
      </c>
      <c r="C34" s="163"/>
      <c r="D34" s="307"/>
      <c r="E34" s="28"/>
      <c r="F34" s="73">
        <f>SUM(F35:F41)</f>
        <v>0</v>
      </c>
      <c r="G34" s="104" t="e">
        <f>F34*$G$25/$F$25</f>
        <v>#DIV/0!</v>
      </c>
      <c r="H34" s="108" t="e">
        <f t="shared" ref="H34" si="18">F34*$H$7/$F$7</f>
        <v>#DIV/0!</v>
      </c>
    </row>
    <row r="35" spans="1:8" hidden="1" outlineLevel="3" x14ac:dyDescent="0.25">
      <c r="B35" s="17" t="s">
        <v>174</v>
      </c>
      <c r="C35" s="58" t="s">
        <v>263</v>
      </c>
      <c r="D35" s="304">
        <v>80</v>
      </c>
      <c r="E35" s="8"/>
      <c r="F35" s="5">
        <f>D35*E35</f>
        <v>0</v>
      </c>
      <c r="G35" s="57" t="e">
        <f>F35*$G$25/$F$25</f>
        <v>#DIV/0!</v>
      </c>
      <c r="H35" s="56" t="e">
        <f>F35*$H$7/$F$7</f>
        <v>#DIV/0!</v>
      </c>
    </row>
    <row r="36" spans="1:8" hidden="1" outlineLevel="3" x14ac:dyDescent="0.25">
      <c r="B36" s="17" t="s">
        <v>264</v>
      </c>
      <c r="C36" s="58" t="s">
        <v>89</v>
      </c>
      <c r="D36" s="304">
        <v>54</v>
      </c>
      <c r="E36" s="8"/>
      <c r="F36" s="5">
        <f t="shared" ref="F36:F40" si="19">D36*E36</f>
        <v>0</v>
      </c>
      <c r="G36" s="57" t="e">
        <f>F36*$G$25/$F$25</f>
        <v>#DIV/0!</v>
      </c>
      <c r="H36" s="56" t="e">
        <f>F36*$H$7/$F$7</f>
        <v>#DIV/0!</v>
      </c>
    </row>
    <row r="37" spans="1:8" hidden="1" outlineLevel="3" x14ac:dyDescent="0.25">
      <c r="B37" s="2" t="s">
        <v>175</v>
      </c>
      <c r="C37" s="58" t="s">
        <v>187</v>
      </c>
      <c r="D37" s="304">
        <v>94</v>
      </c>
      <c r="E37" s="8">
        <v>0</v>
      </c>
      <c r="F37" s="5">
        <f t="shared" si="19"/>
        <v>0</v>
      </c>
      <c r="G37" s="57" t="e">
        <f t="shared" ref="G37" si="20">F37*$G$25/$F$25</f>
        <v>#DIV/0!</v>
      </c>
      <c r="H37" s="56" t="e">
        <f t="shared" ref="H37" si="21">F37*$H$7/$F$7</f>
        <v>#DIV/0!</v>
      </c>
    </row>
    <row r="38" spans="1:8" hidden="1" outlineLevel="3" x14ac:dyDescent="0.25">
      <c r="F38" s="5"/>
    </row>
    <row r="39" spans="1:8" hidden="1" outlineLevel="3" x14ac:dyDescent="0.25">
      <c r="B39" s="17" t="s">
        <v>186</v>
      </c>
      <c r="C39" s="58" t="s">
        <v>187</v>
      </c>
      <c r="D39" s="304">
        <v>0</v>
      </c>
      <c r="E39" s="8">
        <v>0</v>
      </c>
      <c r="F39" s="5">
        <f t="shared" si="19"/>
        <v>0</v>
      </c>
      <c r="G39" s="57" t="e">
        <f t="shared" ref="G39:G40" si="22">F39*$G$25/$F$25</f>
        <v>#DIV/0!</v>
      </c>
      <c r="H39" s="56" t="e">
        <f>F39*$H$7/$F$7</f>
        <v>#DIV/0!</v>
      </c>
    </row>
    <row r="40" spans="1:8" hidden="1" outlineLevel="3" x14ac:dyDescent="0.25">
      <c r="B40" s="17" t="s">
        <v>207</v>
      </c>
      <c r="C40" s="58" t="s">
        <v>187</v>
      </c>
      <c r="D40" s="304">
        <v>0</v>
      </c>
      <c r="E40" s="8">
        <v>0</v>
      </c>
      <c r="F40" s="5">
        <f t="shared" si="19"/>
        <v>0</v>
      </c>
      <c r="G40" s="57" t="e">
        <f t="shared" si="22"/>
        <v>#DIV/0!</v>
      </c>
      <c r="H40" s="56" t="e">
        <f>F40*$H$7/$F$7</f>
        <v>#DIV/0!</v>
      </c>
    </row>
    <row r="41" spans="1:8" hidden="1" outlineLevel="2" collapsed="1" x14ac:dyDescent="0.25">
      <c r="D41" s="304"/>
      <c r="E41" s="8"/>
      <c r="F41" s="5"/>
      <c r="G41" s="97"/>
      <c r="H41" s="56"/>
    </row>
    <row r="42" spans="1:8" ht="15.75" collapsed="1" x14ac:dyDescent="0.25">
      <c r="A42" s="294" t="s">
        <v>3</v>
      </c>
      <c r="B42" s="34"/>
      <c r="C42" s="164"/>
      <c r="D42" s="308"/>
      <c r="E42" s="40"/>
      <c r="F42" s="74">
        <f>F43+F52+F60+F68+F78</f>
        <v>0</v>
      </c>
      <c r="G42" s="53">
        <v>1</v>
      </c>
      <c r="H42" s="126" t="e">
        <f t="shared" ref="H42:H47" si="23">F42*$H$7/$F$7</f>
        <v>#DIV/0!</v>
      </c>
    </row>
    <row r="43" spans="1:8" hidden="1" outlineLevel="1" x14ac:dyDescent="0.25">
      <c r="A43" s="75"/>
      <c r="B43" s="75" t="s">
        <v>273</v>
      </c>
      <c r="C43" s="165"/>
      <c r="D43" s="309"/>
      <c r="E43" s="76"/>
      <c r="F43" s="77">
        <f>SUM(F44:F51)</f>
        <v>0</v>
      </c>
      <c r="G43" s="98" t="e">
        <f>F43*$G$42/$F$42</f>
        <v>#DIV/0!</v>
      </c>
      <c r="H43" s="115" t="e">
        <f t="shared" si="23"/>
        <v>#DIV/0!</v>
      </c>
    </row>
    <row r="44" spans="1:8" hidden="1" outlineLevel="2" x14ac:dyDescent="0.25">
      <c r="B44" t="s">
        <v>176</v>
      </c>
      <c r="C44" s="58" t="s">
        <v>16</v>
      </c>
      <c r="D44" s="304">
        <v>0</v>
      </c>
      <c r="E44" s="8">
        <v>0</v>
      </c>
      <c r="F44" s="5">
        <f>D44*E44</f>
        <v>0</v>
      </c>
      <c r="G44" s="118" t="e">
        <f>F44*$G$42/$F$42</f>
        <v>#DIV/0!</v>
      </c>
      <c r="H44" s="56" t="e">
        <f t="shared" si="23"/>
        <v>#DIV/0!</v>
      </c>
    </row>
    <row r="45" spans="1:8" hidden="1" outlineLevel="2" x14ac:dyDescent="0.25">
      <c r="B45" t="s">
        <v>210</v>
      </c>
      <c r="C45" s="58" t="s">
        <v>16</v>
      </c>
      <c r="D45" s="304">
        <v>0</v>
      </c>
      <c r="E45" s="8">
        <v>0</v>
      </c>
      <c r="F45" s="5">
        <f t="shared" ref="F45:F47" si="24">D45*E45</f>
        <v>0</v>
      </c>
      <c r="G45" s="118" t="e">
        <f>F45*$G$42/$F$42</f>
        <v>#DIV/0!</v>
      </c>
      <c r="H45" s="56" t="e">
        <f t="shared" si="23"/>
        <v>#DIV/0!</v>
      </c>
    </row>
    <row r="46" spans="1:8" hidden="1" outlineLevel="2" x14ac:dyDescent="0.25">
      <c r="B46" t="s">
        <v>209</v>
      </c>
      <c r="C46" s="58" t="s">
        <v>16</v>
      </c>
      <c r="D46" s="304">
        <v>0</v>
      </c>
      <c r="E46" s="8">
        <v>0</v>
      </c>
      <c r="F46" s="5">
        <f t="shared" si="24"/>
        <v>0</v>
      </c>
      <c r="G46" s="118" t="e">
        <f>F46*$G$42/$F$42</f>
        <v>#DIV/0!</v>
      </c>
      <c r="H46" s="56" t="e">
        <f t="shared" si="23"/>
        <v>#DIV/0!</v>
      </c>
    </row>
    <row r="47" spans="1:8" hidden="1" outlineLevel="2" x14ac:dyDescent="0.25">
      <c r="B47" t="s">
        <v>208</v>
      </c>
      <c r="C47" s="58" t="s">
        <v>16</v>
      </c>
      <c r="D47" s="304">
        <v>0.25</v>
      </c>
      <c r="E47" s="8">
        <v>0</v>
      </c>
      <c r="F47" s="5">
        <f t="shared" si="24"/>
        <v>0</v>
      </c>
      <c r="G47" s="118" t="e">
        <f>F47*$G$42/$F$42</f>
        <v>#DIV/0!</v>
      </c>
      <c r="H47" s="56" t="e">
        <f t="shared" si="23"/>
        <v>#DIV/0!</v>
      </c>
    </row>
    <row r="48" spans="1:8" hidden="1" outlineLevel="2" x14ac:dyDescent="0.25">
      <c r="B48" t="s">
        <v>100</v>
      </c>
      <c r="C48" s="58" t="s">
        <v>16</v>
      </c>
      <c r="D48" s="304">
        <v>7</v>
      </c>
      <c r="E48" s="8">
        <v>0</v>
      </c>
      <c r="F48" s="5">
        <f>D48*E48</f>
        <v>0</v>
      </c>
      <c r="G48" s="118" t="e">
        <f t="shared" ref="G48" si="25">F48*$G$42/$F$42</f>
        <v>#DIV/0!</v>
      </c>
      <c r="H48" s="56" t="e">
        <f t="shared" ref="H48" si="26">F48*$H$7/$F$7</f>
        <v>#DIV/0!</v>
      </c>
    </row>
    <row r="49" spans="1:8" hidden="1" outlineLevel="3" x14ac:dyDescent="0.25">
      <c r="B49" t="s">
        <v>235</v>
      </c>
      <c r="C49" s="58" t="s">
        <v>16</v>
      </c>
      <c r="D49" s="304">
        <v>3</v>
      </c>
      <c r="E49" s="8">
        <v>0</v>
      </c>
      <c r="F49" s="5">
        <f t="shared" ref="F49:F50" si="27">D49*E49</f>
        <v>0</v>
      </c>
      <c r="G49" s="118" t="e">
        <f>F49*$G$42/$F$42</f>
        <v>#DIV/0!</v>
      </c>
      <c r="H49" s="56" t="e">
        <f>F49*$H$7/$F$7</f>
        <v>#DIV/0!</v>
      </c>
    </row>
    <row r="50" spans="1:8" hidden="1" outlineLevel="3" x14ac:dyDescent="0.25">
      <c r="B50" t="s">
        <v>265</v>
      </c>
      <c r="C50" s="58" t="s">
        <v>72</v>
      </c>
      <c r="D50" s="304">
        <v>20</v>
      </c>
      <c r="E50" s="8">
        <v>0</v>
      </c>
      <c r="F50" s="5">
        <f t="shared" si="27"/>
        <v>0</v>
      </c>
      <c r="G50" s="118" t="e">
        <f>F50*$G$42/$F$42</f>
        <v>#DIV/0!</v>
      </c>
      <c r="H50" s="56" t="e">
        <f>F50*$H$7/$F$7</f>
        <v>#DIV/0!</v>
      </c>
    </row>
    <row r="51" spans="1:8" hidden="1" outlineLevel="3" x14ac:dyDescent="0.25">
      <c r="D51" s="304"/>
      <c r="E51" s="8" t="s">
        <v>59</v>
      </c>
      <c r="F51" s="5"/>
      <c r="G51" s="118"/>
      <c r="H51" s="56"/>
    </row>
    <row r="52" spans="1:8" hidden="1" outlineLevel="1" collapsed="1" x14ac:dyDescent="0.25">
      <c r="A52" s="36"/>
      <c r="B52" s="36" t="s">
        <v>18</v>
      </c>
      <c r="C52" s="167"/>
      <c r="D52" s="311"/>
      <c r="E52" s="40"/>
      <c r="F52" s="74">
        <f>SUM(F53:F59)</f>
        <v>0</v>
      </c>
      <c r="G52" s="121" t="e">
        <f t="shared" ref="G52:G57" si="28">F52*$G$42/$F$42</f>
        <v>#DIV/0!</v>
      </c>
      <c r="H52" s="119" t="e">
        <f t="shared" ref="H52:H95" si="29">F52*$H$7/$F$7</f>
        <v>#DIV/0!</v>
      </c>
    </row>
    <row r="53" spans="1:8" hidden="1" outlineLevel="2" x14ac:dyDescent="0.25">
      <c r="B53" t="s">
        <v>17</v>
      </c>
      <c r="C53" s="58" t="s">
        <v>73</v>
      </c>
      <c r="D53" s="304">
        <v>0</v>
      </c>
      <c r="E53" s="8">
        <v>0</v>
      </c>
      <c r="F53" s="5">
        <f>D53*E53</f>
        <v>0</v>
      </c>
      <c r="G53" s="118" t="e">
        <f t="shared" si="28"/>
        <v>#DIV/0!</v>
      </c>
      <c r="H53" s="56" t="e">
        <f>F53*$H$7/$F$7</f>
        <v>#DIV/0!</v>
      </c>
    </row>
    <row r="54" spans="1:8" hidden="1" outlineLevel="2" x14ac:dyDescent="0.25">
      <c r="B54" t="s">
        <v>0</v>
      </c>
      <c r="C54" s="58" t="s">
        <v>16</v>
      </c>
      <c r="D54" s="304">
        <v>0</v>
      </c>
      <c r="E54" s="8">
        <v>0</v>
      </c>
      <c r="F54" s="5">
        <f t="shared" ref="F54:F58" si="30">D54*E54</f>
        <v>0</v>
      </c>
      <c r="G54" s="118" t="e">
        <f t="shared" si="28"/>
        <v>#DIV/0!</v>
      </c>
      <c r="H54" s="56" t="e">
        <f>F54*$H$7/$F$7</f>
        <v>#DIV/0!</v>
      </c>
    </row>
    <row r="55" spans="1:8" hidden="1" outlineLevel="2" x14ac:dyDescent="0.25">
      <c r="B55" s="13" t="s">
        <v>19</v>
      </c>
      <c r="C55" s="58" t="s">
        <v>16</v>
      </c>
      <c r="D55" s="304">
        <v>20</v>
      </c>
      <c r="E55" s="8"/>
      <c r="F55" s="5">
        <f t="shared" si="30"/>
        <v>0</v>
      </c>
      <c r="G55" s="118" t="e">
        <f t="shared" si="28"/>
        <v>#DIV/0!</v>
      </c>
      <c r="H55" s="56" t="e">
        <f t="shared" si="29"/>
        <v>#DIV/0!</v>
      </c>
    </row>
    <row r="56" spans="1:8" hidden="1" outlineLevel="2" x14ac:dyDescent="0.25">
      <c r="B56" t="s">
        <v>20</v>
      </c>
      <c r="C56" s="58" t="s">
        <v>74</v>
      </c>
      <c r="D56" s="304">
        <v>5.2</v>
      </c>
      <c r="E56" s="8"/>
      <c r="F56" s="5">
        <f t="shared" si="30"/>
        <v>0</v>
      </c>
      <c r="G56" s="118" t="e">
        <f t="shared" si="28"/>
        <v>#DIV/0!</v>
      </c>
      <c r="H56" s="56" t="e">
        <f t="shared" si="29"/>
        <v>#DIV/0!</v>
      </c>
    </row>
    <row r="57" spans="1:8" hidden="1" outlineLevel="2" x14ac:dyDescent="0.25">
      <c r="B57" t="s">
        <v>92</v>
      </c>
      <c r="C57" s="58" t="s">
        <v>73</v>
      </c>
      <c r="D57" s="304">
        <v>0</v>
      </c>
      <c r="E57" s="8">
        <v>0</v>
      </c>
      <c r="F57" s="5">
        <f t="shared" si="30"/>
        <v>0</v>
      </c>
      <c r="G57" s="118" t="e">
        <f t="shared" si="28"/>
        <v>#DIV/0!</v>
      </c>
      <c r="H57" s="56" t="e">
        <f t="shared" si="29"/>
        <v>#DIV/0!</v>
      </c>
    </row>
    <row r="58" spans="1:8" hidden="1" outlineLevel="2" x14ac:dyDescent="0.25">
      <c r="B58" t="s">
        <v>93</v>
      </c>
      <c r="C58" s="58" t="s">
        <v>73</v>
      </c>
      <c r="D58" s="304">
        <v>0</v>
      </c>
      <c r="E58" s="8">
        <v>0</v>
      </c>
      <c r="F58" s="5">
        <f t="shared" si="30"/>
        <v>0</v>
      </c>
      <c r="G58" s="118" t="e">
        <f t="shared" ref="G58" si="31">F58*$G$42/$F$42</f>
        <v>#DIV/0!</v>
      </c>
      <c r="H58" s="56" t="e">
        <f t="shared" ref="H58" si="32">F58*$H$7/$F$7</f>
        <v>#DIV/0!</v>
      </c>
    </row>
    <row r="59" spans="1:8" hidden="1" outlineLevel="2" x14ac:dyDescent="0.25">
      <c r="D59" s="304"/>
      <c r="G59" s="118"/>
      <c r="H59" s="56"/>
    </row>
    <row r="60" spans="1:8" hidden="1" outlineLevel="1" collapsed="1" x14ac:dyDescent="0.25">
      <c r="A60" s="78"/>
      <c r="B60" s="78" t="s">
        <v>71</v>
      </c>
      <c r="C60" s="166"/>
      <c r="D60" s="310"/>
      <c r="E60" s="79"/>
      <c r="F60" s="80">
        <f>SUM(F61:F67)</f>
        <v>0</v>
      </c>
      <c r="G60" s="120" t="e">
        <f t="shared" ref="G60:G66" si="33">F60*$G$42/$F$42</f>
        <v>#DIV/0!</v>
      </c>
      <c r="H60" s="117" t="e">
        <f t="shared" si="29"/>
        <v>#DIV/0!</v>
      </c>
    </row>
    <row r="61" spans="1:8" hidden="1" outlineLevel="2" x14ac:dyDescent="0.25">
      <c r="B61" t="s">
        <v>21</v>
      </c>
      <c r="C61" s="58" t="s">
        <v>90</v>
      </c>
      <c r="D61" s="304">
        <v>8</v>
      </c>
      <c r="E61" s="8"/>
      <c r="F61" s="5">
        <f>D61*E61</f>
        <v>0</v>
      </c>
      <c r="G61" s="118" t="e">
        <f t="shared" si="33"/>
        <v>#DIV/0!</v>
      </c>
      <c r="H61" s="56" t="e">
        <f t="shared" si="29"/>
        <v>#DIV/0!</v>
      </c>
    </row>
    <row r="62" spans="1:8" hidden="1" outlineLevel="2" x14ac:dyDescent="0.25">
      <c r="B62" t="s">
        <v>164</v>
      </c>
      <c r="C62" s="58" t="s">
        <v>165</v>
      </c>
      <c r="D62" s="304">
        <v>0</v>
      </c>
      <c r="E62" s="8">
        <v>0</v>
      </c>
      <c r="F62" s="5">
        <f t="shared" ref="F62:F66" si="34">D62*E62</f>
        <v>0</v>
      </c>
      <c r="G62" s="118" t="e">
        <f t="shared" si="33"/>
        <v>#DIV/0!</v>
      </c>
      <c r="H62" s="56" t="e">
        <f t="shared" si="29"/>
        <v>#DIV/0!</v>
      </c>
    </row>
    <row r="63" spans="1:8" hidden="1" outlineLevel="2" x14ac:dyDescent="0.25">
      <c r="B63" t="s">
        <v>22</v>
      </c>
      <c r="C63" s="58" t="s">
        <v>75</v>
      </c>
      <c r="D63" s="304">
        <v>0</v>
      </c>
      <c r="E63" s="8">
        <v>0</v>
      </c>
      <c r="F63" s="5">
        <f t="shared" si="34"/>
        <v>0</v>
      </c>
      <c r="G63" s="118" t="e">
        <f t="shared" si="33"/>
        <v>#DIV/0!</v>
      </c>
      <c r="H63" s="56" t="e">
        <f t="shared" si="29"/>
        <v>#DIV/0!</v>
      </c>
    </row>
    <row r="64" spans="1:8" hidden="1" outlineLevel="2" x14ac:dyDescent="0.25">
      <c r="B64" t="s">
        <v>91</v>
      </c>
      <c r="C64" s="58" t="s">
        <v>16</v>
      </c>
      <c r="D64" s="304">
        <v>0</v>
      </c>
      <c r="E64" s="8">
        <v>0</v>
      </c>
      <c r="F64" s="5">
        <f t="shared" si="34"/>
        <v>0</v>
      </c>
      <c r="G64" s="118" t="e">
        <f t="shared" ref="G64" si="35">F64*$G$42/$F$42</f>
        <v>#DIV/0!</v>
      </c>
      <c r="H64" s="56" t="e">
        <f t="shared" ref="H64" si="36">F64*$H$7/$F$7</f>
        <v>#DIV/0!</v>
      </c>
    </row>
    <row r="65" spans="1:8" hidden="1" outlineLevel="2" x14ac:dyDescent="0.25">
      <c r="B65" t="s">
        <v>23</v>
      </c>
      <c r="C65" s="58" t="s">
        <v>16</v>
      </c>
      <c r="D65" s="304">
        <v>0</v>
      </c>
      <c r="E65" s="8">
        <v>0</v>
      </c>
      <c r="F65" s="5">
        <f t="shared" si="34"/>
        <v>0</v>
      </c>
      <c r="G65" s="118" t="e">
        <f t="shared" si="33"/>
        <v>#DIV/0!</v>
      </c>
      <c r="H65" s="56" t="e">
        <f t="shared" si="29"/>
        <v>#DIV/0!</v>
      </c>
    </row>
    <row r="66" spans="1:8" hidden="1" outlineLevel="2" x14ac:dyDescent="0.25">
      <c r="B66" t="s">
        <v>24</v>
      </c>
      <c r="C66" s="58" t="s">
        <v>16</v>
      </c>
      <c r="D66" s="304">
        <v>0</v>
      </c>
      <c r="E66" s="8">
        <v>0</v>
      </c>
      <c r="F66" s="5">
        <f t="shared" si="34"/>
        <v>0</v>
      </c>
      <c r="G66" s="118" t="e">
        <f t="shared" si="33"/>
        <v>#DIV/0!</v>
      </c>
      <c r="H66" s="56" t="e">
        <f t="shared" si="29"/>
        <v>#DIV/0!</v>
      </c>
    </row>
    <row r="67" spans="1:8" hidden="1" outlineLevel="2" x14ac:dyDescent="0.25">
      <c r="D67" s="304"/>
      <c r="E67" s="8"/>
      <c r="G67" s="118"/>
      <c r="H67" s="56"/>
    </row>
    <row r="68" spans="1:8" hidden="1" outlineLevel="1" collapsed="1" x14ac:dyDescent="0.25">
      <c r="A68" s="36"/>
      <c r="B68" s="36" t="s">
        <v>25</v>
      </c>
      <c r="C68" s="167"/>
      <c r="D68" s="311"/>
      <c r="E68" s="40"/>
      <c r="F68" s="74">
        <f>SUM(F69:F77)</f>
        <v>0</v>
      </c>
      <c r="G68" s="121" t="e">
        <f t="shared" ref="G68:G76" si="37">F68*$G$42/$F$42</f>
        <v>#DIV/0!</v>
      </c>
      <c r="H68" s="119" t="e">
        <f t="shared" si="29"/>
        <v>#DIV/0!</v>
      </c>
    </row>
    <row r="69" spans="1:8" hidden="1" outlineLevel="2" x14ac:dyDescent="0.25">
      <c r="B69" t="s">
        <v>26</v>
      </c>
      <c r="C69" s="58" t="s">
        <v>16</v>
      </c>
      <c r="D69" s="304">
        <v>0</v>
      </c>
      <c r="E69" s="8">
        <v>0</v>
      </c>
      <c r="F69" s="5">
        <f>D69*E69</f>
        <v>0</v>
      </c>
      <c r="G69" s="118" t="e">
        <f>F69*$G$42/$F$42</f>
        <v>#DIV/0!</v>
      </c>
      <c r="H69" s="56" t="e">
        <f>F69*$H$7/$F$7</f>
        <v>#DIV/0!</v>
      </c>
    </row>
    <row r="70" spans="1:8" hidden="1" outlineLevel="2" x14ac:dyDescent="0.25">
      <c r="B70" t="s">
        <v>27</v>
      </c>
      <c r="C70" s="58" t="s">
        <v>16</v>
      </c>
      <c r="D70" s="304">
        <v>0</v>
      </c>
      <c r="E70" s="8">
        <v>0</v>
      </c>
      <c r="F70" s="5">
        <f t="shared" ref="F70:F76" si="38">D70*E70</f>
        <v>0</v>
      </c>
      <c r="G70" s="118" t="e">
        <f>F70*$G$42/$F$42</f>
        <v>#DIV/0!</v>
      </c>
      <c r="H70" s="56" t="e">
        <f>F70*$H$7/$F$7</f>
        <v>#DIV/0!</v>
      </c>
    </row>
    <row r="71" spans="1:8" hidden="1" outlineLevel="2" x14ac:dyDescent="0.25">
      <c r="D71" s="304"/>
      <c r="E71" s="8"/>
      <c r="F71" s="5"/>
      <c r="G71" s="118"/>
      <c r="H71" s="56"/>
    </row>
    <row r="72" spans="1:8" hidden="1" outlineLevel="2" x14ac:dyDescent="0.25">
      <c r="B72" t="s">
        <v>28</v>
      </c>
      <c r="C72" s="58" t="s">
        <v>16</v>
      </c>
      <c r="D72" s="304">
        <v>0</v>
      </c>
      <c r="E72" s="8">
        <v>0</v>
      </c>
      <c r="F72" s="5">
        <f t="shared" si="38"/>
        <v>0</v>
      </c>
      <c r="G72" s="118" t="e">
        <f>F72*$G$42/$F$42</f>
        <v>#DIV/0!</v>
      </c>
      <c r="H72" s="56" t="e">
        <f>F72*$H$7/$F$7</f>
        <v>#DIV/0!</v>
      </c>
    </row>
    <row r="73" spans="1:8" hidden="1" outlineLevel="2" x14ac:dyDescent="0.25">
      <c r="B73" t="s">
        <v>94</v>
      </c>
      <c r="C73" s="58" t="s">
        <v>16</v>
      </c>
      <c r="D73" s="304">
        <v>0</v>
      </c>
      <c r="E73" s="8">
        <v>0</v>
      </c>
      <c r="F73" s="5">
        <f t="shared" si="38"/>
        <v>0</v>
      </c>
      <c r="G73" s="118" t="e">
        <f>F73*$G$42/$F$42</f>
        <v>#DIV/0!</v>
      </c>
      <c r="H73" s="56" t="e">
        <f>F73*$H$7/$F$7</f>
        <v>#DIV/0!</v>
      </c>
    </row>
    <row r="74" spans="1:8" hidden="1" outlineLevel="2" x14ac:dyDescent="0.25">
      <c r="D74" s="304"/>
      <c r="E74" s="8"/>
      <c r="F74" s="5"/>
      <c r="G74" s="118"/>
      <c r="H74" s="56"/>
    </row>
    <row r="75" spans="1:8" hidden="1" outlineLevel="2" x14ac:dyDescent="0.25">
      <c r="B75" t="s">
        <v>41</v>
      </c>
      <c r="C75" s="58" t="s">
        <v>16</v>
      </c>
      <c r="D75" s="304">
        <v>0</v>
      </c>
      <c r="E75" s="8">
        <v>0</v>
      </c>
      <c r="F75" s="5">
        <f t="shared" si="38"/>
        <v>0</v>
      </c>
      <c r="G75" s="118" t="e">
        <f t="shared" si="37"/>
        <v>#DIV/0!</v>
      </c>
      <c r="H75" s="56" t="e">
        <f t="shared" si="29"/>
        <v>#DIV/0!</v>
      </c>
    </row>
    <row r="76" spans="1:8" hidden="1" outlineLevel="2" x14ac:dyDescent="0.25">
      <c r="B76" t="s">
        <v>40</v>
      </c>
      <c r="C76" s="58" t="s">
        <v>16</v>
      </c>
      <c r="D76" s="304">
        <v>0</v>
      </c>
      <c r="E76" s="8">
        <v>0</v>
      </c>
      <c r="F76" s="5">
        <f t="shared" si="38"/>
        <v>0</v>
      </c>
      <c r="G76" s="118" t="e">
        <f t="shared" si="37"/>
        <v>#DIV/0!</v>
      </c>
      <c r="H76" s="56" t="e">
        <f t="shared" si="29"/>
        <v>#DIV/0!</v>
      </c>
    </row>
    <row r="77" spans="1:8" hidden="1" outlineLevel="2" x14ac:dyDescent="0.25">
      <c r="D77" s="304"/>
      <c r="E77" s="8"/>
      <c r="F77" s="5"/>
      <c r="G77" s="118"/>
      <c r="H77" s="56"/>
    </row>
    <row r="78" spans="1:8" hidden="1" outlineLevel="1" collapsed="1" x14ac:dyDescent="0.25">
      <c r="A78" s="81"/>
      <c r="B78" s="81" t="s">
        <v>29</v>
      </c>
      <c r="C78" s="168"/>
      <c r="D78" s="312"/>
      <c r="E78" s="82"/>
      <c r="F78" s="83">
        <f>SUM(F79:F89)</f>
        <v>0</v>
      </c>
      <c r="G78" s="98" t="e">
        <f t="shared" ref="G78:G88" si="39">F78*$G$42/$F$42</f>
        <v>#DIV/0!</v>
      </c>
      <c r="H78" s="115" t="e">
        <f t="shared" si="29"/>
        <v>#DIV/0!</v>
      </c>
    </row>
    <row r="79" spans="1:8" hidden="1" outlineLevel="3" x14ac:dyDescent="0.25">
      <c r="B79" t="s">
        <v>177</v>
      </c>
      <c r="C79" s="58" t="s">
        <v>16</v>
      </c>
      <c r="D79" s="304">
        <v>0</v>
      </c>
      <c r="E79" s="8">
        <v>0</v>
      </c>
      <c r="F79" s="5">
        <f>D79*E79</f>
        <v>0</v>
      </c>
      <c r="G79" s="118" t="e">
        <f t="shared" si="39"/>
        <v>#DIV/0!</v>
      </c>
      <c r="H79" s="56" t="e">
        <f t="shared" si="29"/>
        <v>#DIV/0!</v>
      </c>
    </row>
    <row r="80" spans="1:8" hidden="1" outlineLevel="3" x14ac:dyDescent="0.25">
      <c r="B80" t="s">
        <v>30</v>
      </c>
      <c r="C80" s="58" t="s">
        <v>16</v>
      </c>
      <c r="D80" s="304">
        <v>0</v>
      </c>
      <c r="E80" s="8">
        <v>0</v>
      </c>
      <c r="F80" s="5">
        <f t="shared" ref="F80:F88" si="40">D80*E80</f>
        <v>0</v>
      </c>
      <c r="G80" s="118" t="e">
        <f t="shared" ref="G80" si="41">F80*$G$42/$F$42</f>
        <v>#DIV/0!</v>
      </c>
      <c r="H80" s="56" t="e">
        <f t="shared" ref="H80" si="42">F80*$H$7/$F$7</f>
        <v>#DIV/0!</v>
      </c>
    </row>
    <row r="81" spans="1:8" hidden="1" outlineLevel="3" x14ac:dyDescent="0.25">
      <c r="B81" t="s">
        <v>31</v>
      </c>
      <c r="C81" s="58" t="s">
        <v>16</v>
      </c>
      <c r="D81" s="304">
        <v>0</v>
      </c>
      <c r="E81" s="8">
        <v>0</v>
      </c>
      <c r="F81" s="5">
        <f t="shared" si="40"/>
        <v>0</v>
      </c>
      <c r="G81" s="118" t="e">
        <f t="shared" si="39"/>
        <v>#DIV/0!</v>
      </c>
      <c r="H81" s="56" t="e">
        <f t="shared" si="29"/>
        <v>#DIV/0!</v>
      </c>
    </row>
    <row r="82" spans="1:8" hidden="1" outlineLevel="3" x14ac:dyDescent="0.25">
      <c r="B82" t="s">
        <v>32</v>
      </c>
      <c r="C82" s="58" t="s">
        <v>16</v>
      </c>
      <c r="D82" s="304">
        <v>0</v>
      </c>
      <c r="E82" s="8">
        <v>0</v>
      </c>
      <c r="F82" s="5">
        <f t="shared" si="40"/>
        <v>0</v>
      </c>
      <c r="G82" s="118" t="e">
        <f t="shared" si="39"/>
        <v>#DIV/0!</v>
      </c>
      <c r="H82" s="56" t="e">
        <f t="shared" si="29"/>
        <v>#DIV/0!</v>
      </c>
    </row>
    <row r="83" spans="1:8" hidden="1" outlineLevel="3" x14ac:dyDescent="0.25">
      <c r="B83" t="s">
        <v>33</v>
      </c>
      <c r="C83" s="58" t="s">
        <v>16</v>
      </c>
      <c r="D83" s="304">
        <v>0</v>
      </c>
      <c r="E83" s="8">
        <v>0</v>
      </c>
      <c r="F83" s="5">
        <f t="shared" si="40"/>
        <v>0</v>
      </c>
      <c r="G83" s="118" t="e">
        <f t="shared" si="39"/>
        <v>#DIV/0!</v>
      </c>
      <c r="H83" s="56" t="e">
        <f t="shared" si="29"/>
        <v>#DIV/0!</v>
      </c>
    </row>
    <row r="84" spans="1:8" hidden="1" outlineLevel="3" x14ac:dyDescent="0.25">
      <c r="B84" t="s">
        <v>34</v>
      </c>
      <c r="C84" s="58" t="s">
        <v>16</v>
      </c>
      <c r="D84" s="304">
        <v>0</v>
      </c>
      <c r="E84" s="8">
        <v>0</v>
      </c>
      <c r="F84" s="5">
        <f t="shared" si="40"/>
        <v>0</v>
      </c>
      <c r="G84" s="118" t="e">
        <f t="shared" si="39"/>
        <v>#DIV/0!</v>
      </c>
      <c r="H84" s="56" t="e">
        <f t="shared" si="29"/>
        <v>#DIV/0!</v>
      </c>
    </row>
    <row r="85" spans="1:8" hidden="1" outlineLevel="3" x14ac:dyDescent="0.25">
      <c r="B85" t="s">
        <v>35</v>
      </c>
      <c r="C85" s="58" t="s">
        <v>16</v>
      </c>
      <c r="D85" s="304">
        <v>0</v>
      </c>
      <c r="E85" s="8">
        <v>0</v>
      </c>
      <c r="F85" s="5">
        <f t="shared" si="40"/>
        <v>0</v>
      </c>
      <c r="G85" s="118" t="e">
        <f t="shared" si="39"/>
        <v>#DIV/0!</v>
      </c>
      <c r="H85" s="56" t="e">
        <f t="shared" si="29"/>
        <v>#DIV/0!</v>
      </c>
    </row>
    <row r="86" spans="1:8" hidden="1" outlineLevel="3" x14ac:dyDescent="0.25">
      <c r="B86" t="s">
        <v>282</v>
      </c>
      <c r="C86" s="58" t="s">
        <v>76</v>
      </c>
      <c r="D86" s="304">
        <v>140</v>
      </c>
      <c r="E86" s="8"/>
      <c r="F86" s="5">
        <f t="shared" si="40"/>
        <v>0</v>
      </c>
      <c r="G86" s="118" t="e">
        <f t="shared" si="39"/>
        <v>#DIV/0!</v>
      </c>
      <c r="H86" s="56" t="e">
        <f t="shared" si="29"/>
        <v>#DIV/0!</v>
      </c>
    </row>
    <row r="87" spans="1:8" hidden="1" outlineLevel="3" x14ac:dyDescent="0.25">
      <c r="B87" t="s">
        <v>267</v>
      </c>
      <c r="C87" s="58" t="s">
        <v>76</v>
      </c>
      <c r="D87" s="304">
        <v>25</v>
      </c>
      <c r="E87" s="8">
        <v>0</v>
      </c>
      <c r="F87" s="5">
        <f t="shared" si="40"/>
        <v>0</v>
      </c>
      <c r="G87" s="118" t="e">
        <f t="shared" si="39"/>
        <v>#DIV/0!</v>
      </c>
      <c r="H87" s="56" t="e">
        <f t="shared" si="29"/>
        <v>#DIV/0!</v>
      </c>
    </row>
    <row r="88" spans="1:8" hidden="1" outlineLevel="3" x14ac:dyDescent="0.25">
      <c r="B88" t="s">
        <v>266</v>
      </c>
      <c r="C88" s="58" t="s">
        <v>16</v>
      </c>
      <c r="D88" s="304">
        <v>15</v>
      </c>
      <c r="E88" s="8"/>
      <c r="F88" s="5">
        <f t="shared" si="40"/>
        <v>0</v>
      </c>
      <c r="G88" s="118" t="e">
        <f t="shared" si="39"/>
        <v>#DIV/0!</v>
      </c>
      <c r="H88" s="56" t="e">
        <f t="shared" si="29"/>
        <v>#DIV/0!</v>
      </c>
    </row>
    <row r="89" spans="1:8" ht="15" hidden="1" customHeight="1" outlineLevel="1" collapsed="1" x14ac:dyDescent="0.25">
      <c r="D89" s="304"/>
      <c r="E89" s="8"/>
      <c r="F89" s="5"/>
      <c r="G89" s="97"/>
      <c r="H89" s="56"/>
    </row>
    <row r="90" spans="1:8" hidden="1" outlineLevel="1" x14ac:dyDescent="0.25">
      <c r="D90" s="304"/>
      <c r="E90" s="8"/>
      <c r="F90" s="5"/>
      <c r="G90" s="97"/>
      <c r="H90" s="56"/>
    </row>
    <row r="91" spans="1:8" collapsed="1" x14ac:dyDescent="0.25">
      <c r="A91" s="295" t="s">
        <v>6</v>
      </c>
      <c r="B91" s="39"/>
      <c r="C91" s="63"/>
      <c r="D91" s="313"/>
      <c r="E91" s="21"/>
      <c r="F91" s="90">
        <f>SUM(F92:F108)</f>
        <v>0</v>
      </c>
      <c r="G91" s="296">
        <v>1</v>
      </c>
      <c r="H91" s="35" t="e">
        <f t="shared" si="29"/>
        <v>#DIV/0!</v>
      </c>
    </row>
    <row r="92" spans="1:8" ht="15" hidden="1" customHeight="1" outlineLevel="3" x14ac:dyDescent="0.25">
      <c r="B92" t="s">
        <v>270</v>
      </c>
      <c r="C92" s="58" t="s">
        <v>77</v>
      </c>
      <c r="D92" s="304">
        <v>70</v>
      </c>
      <c r="E92" s="8"/>
      <c r="F92" s="5">
        <f>D92*E92</f>
        <v>0</v>
      </c>
      <c r="G92" s="122" t="e">
        <f>F92*$G$91/$F$91</f>
        <v>#DIV/0!</v>
      </c>
      <c r="H92" s="56" t="e">
        <f>F92*$H$7/$F$7</f>
        <v>#DIV/0!</v>
      </c>
    </row>
    <row r="93" spans="1:8" ht="15" hidden="1" customHeight="1" outlineLevel="3" x14ac:dyDescent="0.25">
      <c r="B93" t="s">
        <v>268</v>
      </c>
      <c r="C93" s="58" t="s">
        <v>78</v>
      </c>
      <c r="D93" s="304">
        <v>8.5</v>
      </c>
      <c r="E93" s="8"/>
      <c r="F93" s="5">
        <f t="shared" ref="F93:F107" si="43">D93*E93</f>
        <v>0</v>
      </c>
      <c r="G93" s="122" t="e">
        <f>F93*$G$91/$F$91</f>
        <v>#DIV/0!</v>
      </c>
      <c r="H93" s="56" t="e">
        <f>F93*$H$7/$F$7</f>
        <v>#DIV/0!</v>
      </c>
    </row>
    <row r="94" spans="1:8" ht="15" hidden="1" customHeight="1" outlineLevel="3" x14ac:dyDescent="0.25">
      <c r="D94" s="304"/>
      <c r="E94" s="8"/>
      <c r="F94" s="5"/>
      <c r="G94" s="122"/>
      <c r="H94" s="56"/>
    </row>
    <row r="95" spans="1:8" ht="15" hidden="1" customHeight="1" outlineLevel="3" x14ac:dyDescent="0.25">
      <c r="B95" t="s">
        <v>269</v>
      </c>
      <c r="C95" s="58" t="s">
        <v>77</v>
      </c>
      <c r="D95" s="304">
        <v>55</v>
      </c>
      <c r="E95" s="8">
        <v>0</v>
      </c>
      <c r="F95" s="5">
        <f t="shared" si="43"/>
        <v>0</v>
      </c>
      <c r="G95" s="122" t="e">
        <f>F95*$G$91/$F$91</f>
        <v>#DIV/0!</v>
      </c>
      <c r="H95" s="56" t="e">
        <f t="shared" si="29"/>
        <v>#DIV/0!</v>
      </c>
    </row>
    <row r="96" spans="1:8" ht="15" hidden="1" customHeight="1" outlineLevel="3" x14ac:dyDescent="0.25">
      <c r="B96" t="s">
        <v>188</v>
      </c>
      <c r="C96" s="58" t="s">
        <v>77</v>
      </c>
      <c r="D96" s="304">
        <v>0</v>
      </c>
      <c r="E96" s="8">
        <v>0</v>
      </c>
      <c r="F96" s="5">
        <f t="shared" si="43"/>
        <v>0</v>
      </c>
      <c r="G96" s="122" t="e">
        <f>F96*$G$91/$F$91</f>
        <v>#DIV/0!</v>
      </c>
      <c r="H96" s="56" t="e">
        <f>F96*$H$7/$F$7</f>
        <v>#DIV/0!</v>
      </c>
    </row>
    <row r="97" spans="1:8" ht="15" hidden="1" customHeight="1" outlineLevel="3" x14ac:dyDescent="0.25">
      <c r="D97" s="304"/>
      <c r="E97" s="8"/>
      <c r="F97" s="5"/>
      <c r="G97" s="122"/>
      <c r="H97" s="56"/>
    </row>
    <row r="98" spans="1:8" ht="15" hidden="1" customHeight="1" outlineLevel="3" x14ac:dyDescent="0.25">
      <c r="B98" t="s">
        <v>189</v>
      </c>
      <c r="C98" s="58" t="s">
        <v>77</v>
      </c>
      <c r="D98" s="304">
        <v>0</v>
      </c>
      <c r="E98" s="8">
        <v>0</v>
      </c>
      <c r="F98" s="5">
        <f t="shared" si="43"/>
        <v>0</v>
      </c>
      <c r="G98" s="122" t="e">
        <f t="shared" ref="G98" si="44">F98*$G$91/$F$91</f>
        <v>#DIV/0!</v>
      </c>
      <c r="H98" s="56" t="e">
        <f t="shared" ref="H98" si="45">F98*$H$7/$F$7</f>
        <v>#DIV/0!</v>
      </c>
    </row>
    <row r="99" spans="1:8" ht="15" hidden="1" customHeight="1" outlineLevel="3" x14ac:dyDescent="0.25">
      <c r="B99" t="s">
        <v>190</v>
      </c>
      <c r="C99" s="58" t="s">
        <v>78</v>
      </c>
      <c r="D99" s="304">
        <v>0</v>
      </c>
      <c r="E99" s="8">
        <v>0</v>
      </c>
      <c r="F99" s="5">
        <f t="shared" si="43"/>
        <v>0</v>
      </c>
      <c r="G99" s="122" t="e">
        <f t="shared" ref="G99" si="46">F99*$G$91/$F$91</f>
        <v>#DIV/0!</v>
      </c>
      <c r="H99" s="56" t="e">
        <f t="shared" ref="H99" si="47">F99*$H$7/$F$7</f>
        <v>#DIV/0!</v>
      </c>
    </row>
    <row r="100" spans="1:8" ht="15" hidden="1" customHeight="1" outlineLevel="3" x14ac:dyDescent="0.25">
      <c r="D100" s="304"/>
      <c r="E100" s="8"/>
      <c r="F100" s="5"/>
      <c r="G100" s="122"/>
      <c r="H100" s="56"/>
    </row>
    <row r="101" spans="1:8" ht="15" hidden="1" customHeight="1" outlineLevel="3" x14ac:dyDescent="0.25">
      <c r="B101" t="s">
        <v>274</v>
      </c>
      <c r="C101" s="58" t="s">
        <v>275</v>
      </c>
      <c r="D101" s="304">
        <v>17</v>
      </c>
      <c r="E101" s="8">
        <v>0</v>
      </c>
      <c r="F101" s="5">
        <f t="shared" si="43"/>
        <v>0</v>
      </c>
      <c r="G101" s="122" t="e">
        <f t="shared" ref="G101:G102" si="48">F101*$G$91/$F$91</f>
        <v>#DIV/0!</v>
      </c>
      <c r="H101" s="56" t="e">
        <f t="shared" ref="H101:H102" si="49">F101*$H$7/$F$7</f>
        <v>#DIV/0!</v>
      </c>
    </row>
    <row r="102" spans="1:8" ht="15" hidden="1" customHeight="1" outlineLevel="3" x14ac:dyDescent="0.25">
      <c r="B102" t="s">
        <v>276</v>
      </c>
      <c r="C102" s="58" t="s">
        <v>77</v>
      </c>
      <c r="D102" s="304">
        <v>0</v>
      </c>
      <c r="E102" s="8">
        <v>0</v>
      </c>
      <c r="F102" s="5">
        <f t="shared" si="43"/>
        <v>0</v>
      </c>
      <c r="G102" s="122" t="e">
        <f t="shared" si="48"/>
        <v>#DIV/0!</v>
      </c>
      <c r="H102" s="56" t="e">
        <f t="shared" si="49"/>
        <v>#DIV/0!</v>
      </c>
    </row>
    <row r="103" spans="1:8" ht="15" hidden="1" customHeight="1" outlineLevel="3" x14ac:dyDescent="0.25">
      <c r="B103" t="s">
        <v>278</v>
      </c>
      <c r="C103" s="58" t="s">
        <v>77</v>
      </c>
      <c r="D103" s="304">
        <v>0</v>
      </c>
      <c r="E103" s="8">
        <v>0</v>
      </c>
      <c r="F103" s="5">
        <f t="shared" si="43"/>
        <v>0</v>
      </c>
      <c r="G103" s="122" t="e">
        <f t="shared" ref="G103:G106" si="50">F103*$G$91/$F$91</f>
        <v>#DIV/0!</v>
      </c>
      <c r="H103" s="56" t="e">
        <f t="shared" ref="H103:H106" si="51">F103*$H$7/$F$7</f>
        <v>#DIV/0!</v>
      </c>
    </row>
    <row r="104" spans="1:8" ht="15" hidden="1" customHeight="1" outlineLevel="3" x14ac:dyDescent="0.25">
      <c r="B104" t="s">
        <v>277</v>
      </c>
      <c r="C104" s="58" t="s">
        <v>77</v>
      </c>
      <c r="D104" s="304">
        <v>0</v>
      </c>
      <c r="E104" s="8">
        <v>0</v>
      </c>
      <c r="F104" s="5">
        <f t="shared" si="43"/>
        <v>0</v>
      </c>
      <c r="G104" s="122" t="e">
        <f t="shared" si="50"/>
        <v>#DIV/0!</v>
      </c>
      <c r="H104" s="56" t="e">
        <f t="shared" si="51"/>
        <v>#DIV/0!</v>
      </c>
    </row>
    <row r="105" spans="1:8" ht="15" hidden="1" customHeight="1" outlineLevel="3" x14ac:dyDescent="0.25">
      <c r="D105" s="304"/>
      <c r="E105" s="8"/>
      <c r="F105" s="5"/>
      <c r="G105" s="122"/>
      <c r="H105" s="56"/>
    </row>
    <row r="106" spans="1:8" ht="15" hidden="1" customHeight="1" outlineLevel="3" x14ac:dyDescent="0.25">
      <c r="B106" t="s">
        <v>191</v>
      </c>
      <c r="C106" s="58" t="s">
        <v>78</v>
      </c>
      <c r="D106" s="304">
        <v>0</v>
      </c>
      <c r="E106" s="8">
        <v>0</v>
      </c>
      <c r="F106" s="5">
        <f t="shared" si="43"/>
        <v>0</v>
      </c>
      <c r="G106" s="122" t="e">
        <f t="shared" si="50"/>
        <v>#DIV/0!</v>
      </c>
      <c r="H106" s="56" t="e">
        <f t="shared" si="51"/>
        <v>#DIV/0!</v>
      </c>
    </row>
    <row r="107" spans="1:8" ht="15" hidden="1" customHeight="1" outlineLevel="3" x14ac:dyDescent="0.25">
      <c r="B107" t="s">
        <v>192</v>
      </c>
      <c r="C107" s="58" t="s">
        <v>78</v>
      </c>
      <c r="D107" s="304">
        <v>0</v>
      </c>
      <c r="E107" s="8">
        <v>0</v>
      </c>
      <c r="F107" s="5">
        <f t="shared" si="43"/>
        <v>0</v>
      </c>
      <c r="G107" s="122" t="e">
        <f t="shared" ref="G107" si="52">F107*$G$91/$F$91</f>
        <v>#DIV/0!</v>
      </c>
      <c r="H107" s="56" t="e">
        <f t="shared" ref="H107" si="53">F107*$H$7/$F$7</f>
        <v>#DIV/0!</v>
      </c>
    </row>
    <row r="108" spans="1:8" ht="15" hidden="1" customHeight="1" outlineLevel="3" x14ac:dyDescent="0.25">
      <c r="D108" s="304"/>
      <c r="E108" s="8"/>
      <c r="F108" s="5"/>
      <c r="G108" s="122"/>
      <c r="H108" s="56"/>
    </row>
    <row r="109" spans="1:8" collapsed="1" x14ac:dyDescent="0.25">
      <c r="A109" s="15" t="s">
        <v>4</v>
      </c>
      <c r="B109" s="13"/>
      <c r="C109" s="61"/>
      <c r="D109" s="314"/>
      <c r="E109" s="37"/>
      <c r="F109" s="84">
        <f>F110+F118+F126+F134+F140+F163</f>
        <v>0</v>
      </c>
      <c r="G109" s="54">
        <v>1</v>
      </c>
      <c r="H109" s="127" t="e">
        <f t="shared" ref="H109" si="54">F109*$H$7/$F$7</f>
        <v>#DIV/0!</v>
      </c>
    </row>
    <row r="110" spans="1:8" s="6" customFormat="1" hidden="1" outlineLevel="1" x14ac:dyDescent="0.25">
      <c r="A110" s="29" t="s">
        <v>254</v>
      </c>
      <c r="B110" s="30"/>
      <c r="C110" s="169"/>
      <c r="D110" s="317"/>
      <c r="E110" s="31"/>
      <c r="F110" s="86">
        <f>SUM(F111:F117)</f>
        <v>0</v>
      </c>
      <c r="G110" s="123" t="e">
        <f t="shared" ref="G110:G116" si="55">F110*$G$109/$F$109</f>
        <v>#DIV/0!</v>
      </c>
      <c r="H110" s="116" t="e">
        <f t="shared" ref="H110:H116" si="56">F110*$H$7/$F$7</f>
        <v>#DIV/0!</v>
      </c>
    </row>
    <row r="111" spans="1:8" s="6" customFormat="1" hidden="1" outlineLevel="2" x14ac:dyDescent="0.25">
      <c r="A111"/>
      <c r="B111" t="s">
        <v>211</v>
      </c>
      <c r="C111" s="58" t="s">
        <v>16</v>
      </c>
      <c r="D111" s="304">
        <v>12</v>
      </c>
      <c r="E111" s="8">
        <v>0</v>
      </c>
      <c r="F111" s="5">
        <f>D111*E111</f>
        <v>0</v>
      </c>
      <c r="G111" s="57" t="e">
        <f t="shared" si="55"/>
        <v>#DIV/0!</v>
      </c>
      <c r="H111" s="56" t="e">
        <f t="shared" si="56"/>
        <v>#DIV/0!</v>
      </c>
    </row>
    <row r="112" spans="1:8" s="6" customFormat="1" hidden="1" outlineLevel="2" x14ac:dyDescent="0.25">
      <c r="A112"/>
      <c r="B112" t="s">
        <v>212</v>
      </c>
      <c r="C112" s="58" t="s">
        <v>16</v>
      </c>
      <c r="D112" s="304">
        <v>13.5</v>
      </c>
      <c r="E112" s="8">
        <v>0</v>
      </c>
      <c r="F112" s="5">
        <f t="shared" ref="F112:F116" si="57">D112*E112</f>
        <v>0</v>
      </c>
      <c r="G112" s="57" t="e">
        <f t="shared" si="55"/>
        <v>#DIV/0!</v>
      </c>
      <c r="H112" s="56" t="e">
        <f t="shared" si="56"/>
        <v>#DIV/0!</v>
      </c>
    </row>
    <row r="113" spans="1:8" s="6" customFormat="1" hidden="1" outlineLevel="2" x14ac:dyDescent="0.25">
      <c r="A113"/>
      <c r="B113" t="s">
        <v>213</v>
      </c>
      <c r="C113" s="58" t="s">
        <v>16</v>
      </c>
      <c r="D113" s="304">
        <v>13.5</v>
      </c>
      <c r="E113" s="8"/>
      <c r="F113" s="5">
        <f t="shared" si="57"/>
        <v>0</v>
      </c>
      <c r="G113" s="57" t="e">
        <f t="shared" si="55"/>
        <v>#DIV/0!</v>
      </c>
      <c r="H113" s="56" t="e">
        <f t="shared" si="56"/>
        <v>#DIV/0!</v>
      </c>
    </row>
    <row r="114" spans="1:8" s="6" customFormat="1" hidden="1" outlineLevel="2" x14ac:dyDescent="0.25">
      <c r="A114"/>
      <c r="B114" t="s">
        <v>214</v>
      </c>
      <c r="C114" s="58" t="s">
        <v>16</v>
      </c>
      <c r="D114" s="304">
        <v>14</v>
      </c>
      <c r="E114" s="8">
        <v>0</v>
      </c>
      <c r="F114" s="5">
        <f t="shared" si="57"/>
        <v>0</v>
      </c>
      <c r="G114" s="57" t="e">
        <f t="shared" si="55"/>
        <v>#DIV/0!</v>
      </c>
      <c r="H114" s="56" t="e">
        <f t="shared" si="56"/>
        <v>#DIV/0!</v>
      </c>
    </row>
    <row r="115" spans="1:8" s="6" customFormat="1" hidden="1" outlineLevel="2" x14ac:dyDescent="0.25">
      <c r="A115"/>
      <c r="B115" t="s">
        <v>215</v>
      </c>
      <c r="C115" s="58" t="s">
        <v>16</v>
      </c>
      <c r="D115" s="304">
        <v>15</v>
      </c>
      <c r="E115" s="8">
        <v>0</v>
      </c>
      <c r="F115" s="5">
        <f t="shared" si="57"/>
        <v>0</v>
      </c>
      <c r="G115" s="57" t="e">
        <f t="shared" si="55"/>
        <v>#DIV/0!</v>
      </c>
      <c r="H115" s="56" t="e">
        <f t="shared" si="56"/>
        <v>#DIV/0!</v>
      </c>
    </row>
    <row r="116" spans="1:8" s="6" customFormat="1" hidden="1" outlineLevel="2" x14ac:dyDescent="0.25">
      <c r="A116"/>
      <c r="B116" t="s">
        <v>216</v>
      </c>
      <c r="C116" s="58" t="s">
        <v>16</v>
      </c>
      <c r="D116" s="304">
        <v>16</v>
      </c>
      <c r="E116" s="8">
        <v>0</v>
      </c>
      <c r="F116" s="5">
        <f t="shared" si="57"/>
        <v>0</v>
      </c>
      <c r="G116" s="57" t="e">
        <f t="shared" si="55"/>
        <v>#DIV/0!</v>
      </c>
      <c r="H116" s="56" t="e">
        <f t="shared" si="56"/>
        <v>#DIV/0!</v>
      </c>
    </row>
    <row r="117" spans="1:8" s="6" customFormat="1" hidden="1" outlineLevel="2" x14ac:dyDescent="0.25">
      <c r="A117"/>
      <c r="B117"/>
      <c r="C117" s="58"/>
      <c r="D117" s="304"/>
      <c r="E117" s="8"/>
      <c r="F117" s="5"/>
      <c r="G117" s="57"/>
      <c r="H117" s="56"/>
    </row>
    <row r="118" spans="1:8" s="6" customFormat="1" hidden="1" outlineLevel="1" x14ac:dyDescent="0.25">
      <c r="A118" s="22" t="s">
        <v>253</v>
      </c>
      <c r="B118" s="23" t="s">
        <v>279</v>
      </c>
      <c r="C118" s="170"/>
      <c r="D118" s="318"/>
      <c r="E118" s="24"/>
      <c r="F118" s="87">
        <f>SUM(F119:F125)</f>
        <v>0</v>
      </c>
      <c r="G118" s="103" t="e">
        <f t="shared" ref="G118:G124" si="58">F118*$G$109/$F$109</f>
        <v>#DIV/0!</v>
      </c>
      <c r="H118" s="107" t="e">
        <f t="shared" ref="H118:H124" si="59">F118*$H$7/$F$7</f>
        <v>#DIV/0!</v>
      </c>
    </row>
    <row r="119" spans="1:8" s="6" customFormat="1" hidden="1" outlineLevel="3" x14ac:dyDescent="0.25">
      <c r="A119"/>
      <c r="B119" t="s">
        <v>217</v>
      </c>
      <c r="C119" s="58" t="s">
        <v>16</v>
      </c>
      <c r="D119" s="304">
        <v>0</v>
      </c>
      <c r="E119" s="8">
        <v>0</v>
      </c>
      <c r="F119" s="5">
        <f>D119*E119</f>
        <v>0</v>
      </c>
      <c r="G119" s="57" t="e">
        <f t="shared" si="58"/>
        <v>#DIV/0!</v>
      </c>
      <c r="H119" s="56" t="e">
        <f t="shared" si="59"/>
        <v>#DIV/0!</v>
      </c>
    </row>
    <row r="120" spans="1:8" s="6" customFormat="1" hidden="1" outlineLevel="3" x14ac:dyDescent="0.25">
      <c r="A120"/>
      <c r="B120" t="s">
        <v>218</v>
      </c>
      <c r="C120" s="58" t="s">
        <v>16</v>
      </c>
      <c r="D120" s="304">
        <v>0</v>
      </c>
      <c r="E120" s="8">
        <v>0</v>
      </c>
      <c r="F120" s="5">
        <f t="shared" ref="F120:F124" si="60">D120*E120</f>
        <v>0</v>
      </c>
      <c r="G120" s="57" t="e">
        <f t="shared" si="58"/>
        <v>#DIV/0!</v>
      </c>
      <c r="H120" s="56" t="e">
        <f t="shared" si="59"/>
        <v>#DIV/0!</v>
      </c>
    </row>
    <row r="121" spans="1:8" s="6" customFormat="1" hidden="1" outlineLevel="3" x14ac:dyDescent="0.25">
      <c r="A121"/>
      <c r="B121" t="s">
        <v>219</v>
      </c>
      <c r="C121" s="58" t="s">
        <v>16</v>
      </c>
      <c r="D121" s="304">
        <v>27</v>
      </c>
      <c r="E121" s="8">
        <v>0</v>
      </c>
      <c r="F121" s="5">
        <f t="shared" si="60"/>
        <v>0</v>
      </c>
      <c r="G121" s="57" t="e">
        <f t="shared" si="58"/>
        <v>#DIV/0!</v>
      </c>
      <c r="H121" s="56" t="e">
        <f t="shared" si="59"/>
        <v>#DIV/0!</v>
      </c>
    </row>
    <row r="122" spans="1:8" s="6" customFormat="1" hidden="1" outlineLevel="3" x14ac:dyDescent="0.25">
      <c r="A122"/>
      <c r="B122" t="s">
        <v>220</v>
      </c>
      <c r="C122" s="58" t="s">
        <v>16</v>
      </c>
      <c r="D122" s="304">
        <v>0</v>
      </c>
      <c r="E122" s="8">
        <v>0</v>
      </c>
      <c r="F122" s="5">
        <f t="shared" si="60"/>
        <v>0</v>
      </c>
      <c r="G122" s="57" t="e">
        <f t="shared" si="58"/>
        <v>#DIV/0!</v>
      </c>
      <c r="H122" s="56" t="e">
        <f t="shared" si="59"/>
        <v>#DIV/0!</v>
      </c>
    </row>
    <row r="123" spans="1:8" s="6" customFormat="1" hidden="1" outlineLevel="3" x14ac:dyDescent="0.25">
      <c r="A123"/>
      <c r="B123" t="s">
        <v>221</v>
      </c>
      <c r="C123" s="58" t="s">
        <v>16</v>
      </c>
      <c r="D123" s="304">
        <v>0</v>
      </c>
      <c r="E123" s="8">
        <v>0</v>
      </c>
      <c r="F123" s="5">
        <f t="shared" si="60"/>
        <v>0</v>
      </c>
      <c r="G123" s="57" t="e">
        <f t="shared" si="58"/>
        <v>#DIV/0!</v>
      </c>
      <c r="H123" s="56" t="e">
        <f t="shared" si="59"/>
        <v>#DIV/0!</v>
      </c>
    </row>
    <row r="124" spans="1:8" s="6" customFormat="1" hidden="1" outlineLevel="3" x14ac:dyDescent="0.25">
      <c r="A124"/>
      <c r="B124" t="s">
        <v>222</v>
      </c>
      <c r="C124" s="58" t="s">
        <v>16</v>
      </c>
      <c r="D124" s="304">
        <v>0</v>
      </c>
      <c r="E124" s="8">
        <v>0</v>
      </c>
      <c r="F124" s="5">
        <f t="shared" si="60"/>
        <v>0</v>
      </c>
      <c r="G124" s="57" t="e">
        <f t="shared" si="58"/>
        <v>#DIV/0!</v>
      </c>
      <c r="H124" s="56" t="e">
        <f t="shared" si="59"/>
        <v>#DIV/0!</v>
      </c>
    </row>
    <row r="125" spans="1:8" s="6" customFormat="1" hidden="1" outlineLevel="3" x14ac:dyDescent="0.25">
      <c r="A125"/>
      <c r="B125"/>
      <c r="C125" s="58"/>
      <c r="D125" s="304"/>
      <c r="E125" s="8"/>
      <c r="F125" s="5"/>
      <c r="G125" s="57"/>
      <c r="H125" s="56"/>
    </row>
    <row r="126" spans="1:8" s="6" customFormat="1" hidden="1" outlineLevel="1" collapsed="1" x14ac:dyDescent="0.25">
      <c r="A126" s="18" t="s">
        <v>252</v>
      </c>
      <c r="B126" s="27"/>
      <c r="C126" s="171"/>
      <c r="D126" s="319"/>
      <c r="E126" s="28"/>
      <c r="F126" s="85">
        <f>SUM(F127:F133)</f>
        <v>0</v>
      </c>
      <c r="G126" s="104" t="e">
        <f>F126*$G$109/$F$109</f>
        <v>#DIV/0!</v>
      </c>
      <c r="H126" s="108" t="e">
        <f t="shared" ref="H126:H131" si="61">F126*$H$7/$F$7</f>
        <v>#DIV/0!</v>
      </c>
    </row>
    <row r="127" spans="1:8" s="6" customFormat="1" hidden="1" outlineLevel="2" x14ac:dyDescent="0.25">
      <c r="A127"/>
      <c r="B127" s="175" t="s">
        <v>223</v>
      </c>
      <c r="C127" s="58" t="s">
        <v>16</v>
      </c>
      <c r="D127" s="304">
        <v>0</v>
      </c>
      <c r="E127" s="8">
        <v>0</v>
      </c>
      <c r="F127" s="5">
        <f>D127*E127</f>
        <v>0</v>
      </c>
      <c r="G127" s="57" t="e">
        <f t="shared" ref="G127:G131" si="62">F127*$G$109/$F$109</f>
        <v>#DIV/0!</v>
      </c>
      <c r="H127" s="56" t="e">
        <f t="shared" si="61"/>
        <v>#DIV/0!</v>
      </c>
    </row>
    <row r="128" spans="1:8" s="6" customFormat="1" hidden="1" outlineLevel="2" x14ac:dyDescent="0.25">
      <c r="A128"/>
      <c r="B128" s="175" t="s">
        <v>224</v>
      </c>
      <c r="C128" s="58" t="s">
        <v>16</v>
      </c>
      <c r="D128" s="304">
        <v>0</v>
      </c>
      <c r="E128" s="8">
        <v>0</v>
      </c>
      <c r="F128" s="5">
        <f t="shared" ref="F128:F131" si="63">D128*E128</f>
        <v>0</v>
      </c>
      <c r="G128" s="57" t="e">
        <f t="shared" si="62"/>
        <v>#DIV/0!</v>
      </c>
      <c r="H128" s="56" t="e">
        <f t="shared" si="61"/>
        <v>#DIV/0!</v>
      </c>
    </row>
    <row r="129" spans="1:8" s="6" customFormat="1" hidden="1" outlineLevel="2" x14ac:dyDescent="0.25">
      <c r="A129"/>
      <c r="B129" s="175" t="s">
        <v>225</v>
      </c>
      <c r="C129" s="58" t="s">
        <v>16</v>
      </c>
      <c r="D129" s="304">
        <v>0</v>
      </c>
      <c r="E129" s="8">
        <v>0</v>
      </c>
      <c r="F129" s="5">
        <f t="shared" si="63"/>
        <v>0</v>
      </c>
      <c r="G129" s="57" t="e">
        <f t="shared" si="62"/>
        <v>#DIV/0!</v>
      </c>
      <c r="H129" s="56" t="e">
        <f t="shared" si="61"/>
        <v>#DIV/0!</v>
      </c>
    </row>
    <row r="130" spans="1:8" s="6" customFormat="1" hidden="1" outlineLevel="2" x14ac:dyDescent="0.25">
      <c r="A130"/>
      <c r="B130" s="175" t="s">
        <v>226</v>
      </c>
      <c r="C130" s="58" t="s">
        <v>16</v>
      </c>
      <c r="D130" s="304">
        <v>0</v>
      </c>
      <c r="E130" s="8">
        <v>0</v>
      </c>
      <c r="F130" s="5">
        <f t="shared" si="63"/>
        <v>0</v>
      </c>
      <c r="G130" s="57" t="e">
        <f t="shared" si="62"/>
        <v>#DIV/0!</v>
      </c>
      <c r="H130" s="56" t="e">
        <f t="shared" si="61"/>
        <v>#DIV/0!</v>
      </c>
    </row>
    <row r="131" spans="1:8" s="6" customFormat="1" hidden="1" outlineLevel="2" x14ac:dyDescent="0.25">
      <c r="A131"/>
      <c r="B131" s="175" t="s">
        <v>227</v>
      </c>
      <c r="C131" s="58" t="s">
        <v>16</v>
      </c>
      <c r="D131" s="304">
        <v>0</v>
      </c>
      <c r="E131" s="8">
        <v>0</v>
      </c>
      <c r="F131" s="5">
        <f t="shared" si="63"/>
        <v>0</v>
      </c>
      <c r="G131" s="57" t="e">
        <f t="shared" si="62"/>
        <v>#DIV/0!</v>
      </c>
      <c r="H131" s="56" t="e">
        <f t="shared" si="61"/>
        <v>#DIV/0!</v>
      </c>
    </row>
    <row r="132" spans="1:8" s="6" customFormat="1" hidden="1" outlineLevel="2" x14ac:dyDescent="0.25">
      <c r="A132"/>
      <c r="B132" s="175" t="s">
        <v>228</v>
      </c>
      <c r="C132" s="58" t="s">
        <v>16</v>
      </c>
      <c r="D132" s="304">
        <v>0</v>
      </c>
      <c r="E132" s="8">
        <v>0</v>
      </c>
      <c r="F132" s="5">
        <f t="shared" ref="F132" si="64">D132*E132</f>
        <v>0</v>
      </c>
      <c r="G132" s="57" t="e">
        <f t="shared" ref="G132" si="65">F132*$G$109/$F$109</f>
        <v>#DIV/0!</v>
      </c>
      <c r="H132" s="56" t="e">
        <f t="shared" ref="H132" si="66">F132*$H$7/$F$7</f>
        <v>#DIV/0!</v>
      </c>
    </row>
    <row r="133" spans="1:8" s="6" customFormat="1" hidden="1" outlineLevel="2" x14ac:dyDescent="0.25">
      <c r="A133"/>
      <c r="B133"/>
      <c r="C133" s="58"/>
      <c r="D133" s="304"/>
      <c r="E133" s="8"/>
      <c r="F133" s="5"/>
      <c r="G133" s="57"/>
      <c r="H133" s="56"/>
    </row>
    <row r="134" spans="1:8" s="2" customFormat="1" hidden="1" outlineLevel="1" collapsed="1" x14ac:dyDescent="0.25">
      <c r="A134" s="18"/>
      <c r="B134" s="18" t="s">
        <v>251</v>
      </c>
      <c r="C134" s="160"/>
      <c r="D134" s="315"/>
      <c r="E134" s="28"/>
      <c r="F134" s="85">
        <f>SUM(F135:F139)</f>
        <v>0</v>
      </c>
      <c r="G134" s="104" t="e">
        <f>F134*$G$109/$F$109</f>
        <v>#DIV/0!</v>
      </c>
      <c r="H134" s="108" t="e">
        <f t="shared" ref="H134:H167" si="67">F134*$H$7/$F$7</f>
        <v>#DIV/0!</v>
      </c>
    </row>
    <row r="135" spans="1:8" s="2" customFormat="1" hidden="1" outlineLevel="2" x14ac:dyDescent="0.25">
      <c r="A135"/>
      <c r="B135" t="s">
        <v>229</v>
      </c>
      <c r="C135" s="58" t="s">
        <v>16</v>
      </c>
      <c r="D135" s="304">
        <v>4</v>
      </c>
      <c r="E135" s="8"/>
      <c r="F135" s="111">
        <f>D135*E135</f>
        <v>0</v>
      </c>
      <c r="G135" s="57" t="e">
        <f>F135*$G$109/$F$109</f>
        <v>#DIV/0!</v>
      </c>
      <c r="H135" s="56" t="e">
        <f t="shared" si="67"/>
        <v>#DIV/0!</v>
      </c>
    </row>
    <row r="136" spans="1:8" s="2" customFormat="1" hidden="1" outlineLevel="2" x14ac:dyDescent="0.25">
      <c r="A136"/>
      <c r="B136" t="s">
        <v>230</v>
      </c>
      <c r="C136" s="58" t="s">
        <v>16</v>
      </c>
      <c r="D136" s="304">
        <v>0</v>
      </c>
      <c r="E136" s="8">
        <v>0</v>
      </c>
      <c r="F136" s="111">
        <f t="shared" ref="F136:F138" si="68">D136*E136</f>
        <v>0</v>
      </c>
      <c r="G136" s="57" t="e">
        <f>F136*$G$109/$F$109</f>
        <v>#DIV/0!</v>
      </c>
      <c r="H136" s="56" t="e">
        <f t="shared" si="67"/>
        <v>#DIV/0!</v>
      </c>
    </row>
    <row r="137" spans="1:8" s="2" customFormat="1" hidden="1" outlineLevel="2" x14ac:dyDescent="0.25">
      <c r="A137"/>
      <c r="B137" t="s">
        <v>231</v>
      </c>
      <c r="C137" s="58" t="s">
        <v>16</v>
      </c>
      <c r="D137" s="304">
        <v>0</v>
      </c>
      <c r="E137" s="8">
        <v>0</v>
      </c>
      <c r="F137" s="111">
        <f t="shared" si="68"/>
        <v>0</v>
      </c>
      <c r="G137" s="57" t="e">
        <f>F137*$G$109/$F$109</f>
        <v>#DIV/0!</v>
      </c>
      <c r="H137" s="56" t="e">
        <f t="shared" si="67"/>
        <v>#DIV/0!</v>
      </c>
    </row>
    <row r="138" spans="1:8" s="2" customFormat="1" hidden="1" outlineLevel="2" x14ac:dyDescent="0.25">
      <c r="A138"/>
      <c r="B138" t="s">
        <v>232</v>
      </c>
      <c r="C138" s="58" t="s">
        <v>16</v>
      </c>
      <c r="D138" s="304">
        <v>0</v>
      </c>
      <c r="E138" s="8">
        <v>0</v>
      </c>
      <c r="F138" s="111">
        <f t="shared" si="68"/>
        <v>0</v>
      </c>
      <c r="G138" s="57" t="e">
        <f>F138*$G$109/$F$109</f>
        <v>#DIV/0!</v>
      </c>
      <c r="H138" s="56" t="e">
        <f t="shared" si="67"/>
        <v>#DIV/0!</v>
      </c>
    </row>
    <row r="139" spans="1:8" s="2" customFormat="1" hidden="1" outlineLevel="2" x14ac:dyDescent="0.25">
      <c r="A139"/>
      <c r="C139" s="58"/>
      <c r="D139" s="304"/>
      <c r="E139" s="8"/>
      <c r="F139" s="111"/>
      <c r="G139" s="57"/>
      <c r="H139" s="56"/>
    </row>
    <row r="140" spans="1:8" s="2" customFormat="1" hidden="1" outlineLevel="1" collapsed="1" x14ac:dyDescent="0.25">
      <c r="A140" s="22"/>
      <c r="B140" s="22" t="s">
        <v>193</v>
      </c>
      <c r="C140" s="170"/>
      <c r="D140" s="318"/>
      <c r="E140" s="24"/>
      <c r="F140" s="87">
        <f>SUM(F141:F161)</f>
        <v>0</v>
      </c>
      <c r="G140" s="103" t="e">
        <f>F140*$G$109/$F$109</f>
        <v>#DIV/0!</v>
      </c>
      <c r="H140" s="107" t="e">
        <f t="shared" si="67"/>
        <v>#DIV/0!</v>
      </c>
    </row>
    <row r="141" spans="1:8" s="2" customFormat="1" hidden="1" outlineLevel="3" x14ac:dyDescent="0.25">
      <c r="B141" t="s">
        <v>284</v>
      </c>
      <c r="C141" s="58" t="s">
        <v>16</v>
      </c>
      <c r="D141" s="304">
        <v>0</v>
      </c>
      <c r="E141" s="8">
        <v>0</v>
      </c>
      <c r="F141" s="111">
        <f>D141*E141</f>
        <v>0</v>
      </c>
      <c r="G141" s="57" t="e">
        <f>F141*$G$109/$F$109</f>
        <v>#DIV/0!</v>
      </c>
      <c r="H141" s="56" t="e">
        <f>F141*$H$7/$F$7</f>
        <v>#DIV/0!</v>
      </c>
    </row>
    <row r="142" spans="1:8" s="2" customFormat="1" hidden="1" outlineLevel="3" x14ac:dyDescent="0.25">
      <c r="B142"/>
      <c r="C142" s="58"/>
      <c r="D142" s="304"/>
      <c r="E142" s="8"/>
      <c r="F142" s="111"/>
      <c r="G142" s="57"/>
      <c r="H142" s="56"/>
    </row>
    <row r="143" spans="1:8" s="2" customFormat="1" hidden="1" outlineLevel="3" x14ac:dyDescent="0.25">
      <c r="B143" t="s">
        <v>98</v>
      </c>
      <c r="C143" s="58" t="s">
        <v>16</v>
      </c>
      <c r="D143" s="304">
        <v>0</v>
      </c>
      <c r="E143" s="8">
        <v>0</v>
      </c>
      <c r="F143" s="111">
        <f t="shared" ref="F143:F158" si="69">D143*E143</f>
        <v>0</v>
      </c>
      <c r="G143" s="57" t="e">
        <f>F143*$G$109/$F$109</f>
        <v>#DIV/0!</v>
      </c>
      <c r="H143" s="56" t="e">
        <f>F143*$H$7/$F$7</f>
        <v>#DIV/0!</v>
      </c>
    </row>
    <row r="144" spans="1:8" s="2" customFormat="1" hidden="1" outlineLevel="3" x14ac:dyDescent="0.25">
      <c r="B144" t="s">
        <v>99</v>
      </c>
      <c r="C144" s="58" t="s">
        <v>16</v>
      </c>
      <c r="D144" s="304">
        <v>0</v>
      </c>
      <c r="E144" s="8">
        <v>0</v>
      </c>
      <c r="F144" s="111">
        <f t="shared" si="69"/>
        <v>0</v>
      </c>
      <c r="G144" s="57" t="e">
        <f>F144*$G$109/$F$109</f>
        <v>#DIV/0!</v>
      </c>
      <c r="H144" s="56" t="e">
        <f>F144*$H$7/$F$7</f>
        <v>#DIV/0!</v>
      </c>
    </row>
    <row r="145" spans="1:8" s="2" customFormat="1" hidden="1" outlineLevel="3" x14ac:dyDescent="0.25">
      <c r="B145"/>
      <c r="C145" s="58"/>
      <c r="D145" s="304"/>
      <c r="E145" s="8"/>
      <c r="F145" s="111"/>
      <c r="G145" s="57"/>
      <c r="H145" s="56"/>
    </row>
    <row r="146" spans="1:8" s="2" customFormat="1" hidden="1" outlineLevel="3" x14ac:dyDescent="0.25">
      <c r="B146" t="s">
        <v>95</v>
      </c>
      <c r="C146" s="58" t="s">
        <v>16</v>
      </c>
      <c r="D146" s="304">
        <v>0</v>
      </c>
      <c r="E146" s="8">
        <v>0</v>
      </c>
      <c r="F146" s="111">
        <f t="shared" si="69"/>
        <v>0</v>
      </c>
      <c r="G146" s="57" t="e">
        <f>F146*$G$109/$F$109</f>
        <v>#DIV/0!</v>
      </c>
      <c r="H146" s="56" t="e">
        <f t="shared" ref="H146:H147" si="70">F146*$H$7/$F$7</f>
        <v>#DIV/0!</v>
      </c>
    </row>
    <row r="147" spans="1:8" s="2" customFormat="1" hidden="1" outlineLevel="3" x14ac:dyDescent="0.25">
      <c r="B147" t="s">
        <v>96</v>
      </c>
      <c r="C147" s="58" t="s">
        <v>16</v>
      </c>
      <c r="D147" s="304">
        <v>0</v>
      </c>
      <c r="E147" s="8">
        <v>0</v>
      </c>
      <c r="F147" s="111">
        <f t="shared" si="69"/>
        <v>0</v>
      </c>
      <c r="G147" s="57" t="e">
        <f>F147*$G$109/$F$109</f>
        <v>#DIV/0!</v>
      </c>
      <c r="H147" s="56" t="e">
        <f t="shared" si="70"/>
        <v>#DIV/0!</v>
      </c>
    </row>
    <row r="148" spans="1:8" s="2" customFormat="1" hidden="1" outlineLevel="3" x14ac:dyDescent="0.25">
      <c r="B148"/>
      <c r="C148" s="58"/>
      <c r="D148" s="304"/>
      <c r="E148" s="8"/>
      <c r="F148" s="111"/>
      <c r="G148" s="57"/>
      <c r="H148" s="56"/>
    </row>
    <row r="149" spans="1:8" s="2" customFormat="1" hidden="1" outlineLevel="3" x14ac:dyDescent="0.25">
      <c r="B149" s="175" t="s">
        <v>82</v>
      </c>
      <c r="C149" s="58" t="s">
        <v>16</v>
      </c>
      <c r="D149" s="304">
        <v>0</v>
      </c>
      <c r="E149" s="8">
        <v>0</v>
      </c>
      <c r="F149" s="111">
        <f t="shared" si="69"/>
        <v>0</v>
      </c>
      <c r="G149" s="57" t="e">
        <f t="shared" ref="G149" si="71">F149*$G$109/$F$109</f>
        <v>#DIV/0!</v>
      </c>
      <c r="H149" s="56" t="e">
        <f t="shared" ref="H149" si="72">F149*$H$7/$F$7</f>
        <v>#DIV/0!</v>
      </c>
    </row>
    <row r="150" spans="1:8" s="2" customFormat="1" hidden="1" outlineLevel="3" x14ac:dyDescent="0.25">
      <c r="B150"/>
      <c r="C150" s="58"/>
      <c r="D150" s="304"/>
      <c r="E150" s="8"/>
      <c r="F150" s="111"/>
      <c r="G150" s="57"/>
      <c r="H150" s="56"/>
    </row>
    <row r="151" spans="1:8" s="2" customFormat="1" hidden="1" outlineLevel="3" x14ac:dyDescent="0.25">
      <c r="A151"/>
      <c r="B151" t="s">
        <v>36</v>
      </c>
      <c r="C151" s="58" t="s">
        <v>16</v>
      </c>
      <c r="D151" s="304">
        <v>0</v>
      </c>
      <c r="E151" s="8">
        <v>0</v>
      </c>
      <c r="F151" s="111">
        <f t="shared" si="69"/>
        <v>0</v>
      </c>
      <c r="G151" s="57" t="e">
        <f>F151*$G$109/$F$109</f>
        <v>#DIV/0!</v>
      </c>
      <c r="H151" s="56" t="e">
        <f t="shared" ref="H151:H154" si="73">F151*$H$7/$F$7</f>
        <v>#DIV/0!</v>
      </c>
    </row>
    <row r="152" spans="1:8" s="2" customFormat="1" hidden="1" outlineLevel="3" x14ac:dyDescent="0.25">
      <c r="A152"/>
      <c r="B152" t="s">
        <v>97</v>
      </c>
      <c r="C152" s="58" t="s">
        <v>16</v>
      </c>
      <c r="D152" s="304">
        <v>0</v>
      </c>
      <c r="E152" s="8">
        <v>0</v>
      </c>
      <c r="F152" s="111">
        <f t="shared" si="69"/>
        <v>0</v>
      </c>
      <c r="G152" s="57" t="e">
        <f>F152*$G$109/$F$109</f>
        <v>#DIV/0!</v>
      </c>
      <c r="H152" s="56" t="e">
        <f t="shared" si="73"/>
        <v>#DIV/0!</v>
      </c>
    </row>
    <row r="153" spans="1:8" s="2" customFormat="1" hidden="1" outlineLevel="3" x14ac:dyDescent="0.25">
      <c r="A153"/>
      <c r="B153"/>
      <c r="C153" s="58"/>
      <c r="D153" s="304"/>
      <c r="E153" s="8"/>
      <c r="F153" s="111"/>
      <c r="G153" s="57"/>
      <c r="H153" s="56"/>
    </row>
    <row r="154" spans="1:8" s="2" customFormat="1" hidden="1" outlineLevel="3" x14ac:dyDescent="0.25">
      <c r="A154"/>
      <c r="B154" s="175" t="s">
        <v>83</v>
      </c>
      <c r="C154" s="58" t="s">
        <v>16</v>
      </c>
      <c r="D154" s="304">
        <v>0</v>
      </c>
      <c r="E154" s="8">
        <v>0</v>
      </c>
      <c r="F154" s="111">
        <f t="shared" si="69"/>
        <v>0</v>
      </c>
      <c r="G154" s="57" t="e">
        <f t="shared" ref="G154" si="74">F154*$G$109/$F$109</f>
        <v>#DIV/0!</v>
      </c>
      <c r="H154" s="56" t="e">
        <f t="shared" si="73"/>
        <v>#DIV/0!</v>
      </c>
    </row>
    <row r="155" spans="1:8" s="2" customFormat="1" hidden="1" outlineLevel="3" x14ac:dyDescent="0.25">
      <c r="A155"/>
      <c r="B155" s="175"/>
      <c r="C155" s="58"/>
      <c r="D155" s="304"/>
      <c r="E155" s="8"/>
      <c r="F155" s="111"/>
      <c r="G155" s="57"/>
      <c r="H155" s="56"/>
    </row>
    <row r="156" spans="1:8" s="2" customFormat="1" hidden="1" outlineLevel="3" x14ac:dyDescent="0.25">
      <c r="A156"/>
      <c r="B156" t="s">
        <v>178</v>
      </c>
      <c r="C156" s="58" t="s">
        <v>16</v>
      </c>
      <c r="D156" s="304">
        <v>0</v>
      </c>
      <c r="E156" s="8">
        <v>0</v>
      </c>
      <c r="F156" s="111">
        <f t="shared" si="69"/>
        <v>0</v>
      </c>
      <c r="G156" s="57" t="e">
        <f t="shared" ref="G156:G158" si="75">F156*$G$109/$F$109</f>
        <v>#DIV/0!</v>
      </c>
      <c r="H156" s="56" t="e">
        <f t="shared" ref="H156:H158" si="76">F156*$H$7/$F$7</f>
        <v>#DIV/0!</v>
      </c>
    </row>
    <row r="157" spans="1:8" s="2" customFormat="1" hidden="1" outlineLevel="3" x14ac:dyDescent="0.25">
      <c r="A157"/>
      <c r="B157" t="s">
        <v>179</v>
      </c>
      <c r="C157" s="58" t="s">
        <v>16</v>
      </c>
      <c r="D157" s="304">
        <v>0</v>
      </c>
      <c r="E157" s="8">
        <v>0</v>
      </c>
      <c r="F157" s="111">
        <f t="shared" si="69"/>
        <v>0</v>
      </c>
      <c r="G157" s="57" t="e">
        <f t="shared" ref="G157" si="77">F157*$G$109/$F$109</f>
        <v>#DIV/0!</v>
      </c>
      <c r="H157" s="56" t="e">
        <f t="shared" ref="H157" si="78">F157*$H$7/$F$7</f>
        <v>#DIV/0!</v>
      </c>
    </row>
    <row r="158" spans="1:8" s="2" customFormat="1" hidden="1" outlineLevel="3" x14ac:dyDescent="0.25">
      <c r="A158"/>
      <c r="B158" t="s">
        <v>53</v>
      </c>
      <c r="C158" s="58" t="s">
        <v>16</v>
      </c>
      <c r="D158" s="304">
        <v>0</v>
      </c>
      <c r="E158" s="8">
        <v>0</v>
      </c>
      <c r="F158" s="111">
        <f t="shared" si="69"/>
        <v>0</v>
      </c>
      <c r="G158" s="57" t="e">
        <f t="shared" si="75"/>
        <v>#DIV/0!</v>
      </c>
      <c r="H158" s="56" t="e">
        <f t="shared" si="76"/>
        <v>#DIV/0!</v>
      </c>
    </row>
    <row r="159" spans="1:8" s="2" customFormat="1" hidden="1" outlineLevel="3" x14ac:dyDescent="0.25">
      <c r="A159"/>
      <c r="B159"/>
      <c r="C159" s="58"/>
      <c r="D159" s="304"/>
      <c r="E159" s="8"/>
      <c r="F159" s="111"/>
      <c r="G159" s="57"/>
      <c r="H159" s="56"/>
    </row>
    <row r="160" spans="1:8" s="2" customFormat="1" hidden="1" outlineLevel="3" x14ac:dyDescent="0.25">
      <c r="A160"/>
      <c r="B160" t="s">
        <v>257</v>
      </c>
      <c r="C160" s="58" t="s">
        <v>16</v>
      </c>
      <c r="D160" s="304">
        <v>0</v>
      </c>
      <c r="E160" s="8">
        <v>0</v>
      </c>
      <c r="F160" s="111">
        <f t="shared" ref="F160" si="79">D160*E160</f>
        <v>0</v>
      </c>
      <c r="G160" s="57" t="e">
        <f t="shared" ref="G160" si="80">F160*$G$109/$F$109</f>
        <v>#DIV/0!</v>
      </c>
      <c r="H160" s="56" t="e">
        <f t="shared" ref="H160" si="81">F160*$H$7/$F$7</f>
        <v>#DIV/0!</v>
      </c>
    </row>
    <row r="161" spans="1:8" s="2" customFormat="1" hidden="1" outlineLevel="3" x14ac:dyDescent="0.25">
      <c r="B161" t="s">
        <v>258</v>
      </c>
      <c r="C161" s="58" t="s">
        <v>16</v>
      </c>
      <c r="D161" s="304">
        <v>0</v>
      </c>
      <c r="E161" s="8">
        <v>0</v>
      </c>
      <c r="F161" s="111">
        <f t="shared" ref="F161" si="82">D161*E161</f>
        <v>0</v>
      </c>
      <c r="G161" s="57" t="e">
        <f t="shared" ref="G161" si="83">F161*$G$109/$F$109</f>
        <v>#DIV/0!</v>
      </c>
      <c r="H161" s="56" t="e">
        <f t="shared" ref="H161" si="84">F161*$H$7/$F$7</f>
        <v>#DIV/0!</v>
      </c>
    </row>
    <row r="162" spans="1:8" s="2" customFormat="1" hidden="1" outlineLevel="3" x14ac:dyDescent="0.25">
      <c r="A162"/>
      <c r="B162"/>
      <c r="C162" s="58"/>
      <c r="D162" s="304"/>
      <c r="E162" s="8"/>
      <c r="F162" s="111"/>
      <c r="G162" s="57"/>
      <c r="H162" s="56"/>
    </row>
    <row r="163" spans="1:8" s="2" customFormat="1" hidden="1" outlineLevel="1" collapsed="1" x14ac:dyDescent="0.25">
      <c r="A163" s="25" t="s">
        <v>5</v>
      </c>
      <c r="B163" s="25" t="s">
        <v>70</v>
      </c>
      <c r="C163" s="161"/>
      <c r="D163" s="316"/>
      <c r="E163" s="26"/>
      <c r="F163" s="88">
        <f>SUM(F164:F166)</f>
        <v>0</v>
      </c>
      <c r="G163" s="99" t="e">
        <f>F163*$G$109/$F$109</f>
        <v>#DIV/0!</v>
      </c>
      <c r="H163" s="106" t="e">
        <f t="shared" si="67"/>
        <v>#DIV/0!</v>
      </c>
    </row>
    <row r="164" spans="1:8" s="2" customFormat="1" hidden="1" outlineLevel="2" x14ac:dyDescent="0.25">
      <c r="A164"/>
      <c r="B164" t="s">
        <v>37</v>
      </c>
      <c r="C164" s="58" t="s">
        <v>16</v>
      </c>
      <c r="D164" s="304">
        <v>8</v>
      </c>
      <c r="E164" s="8"/>
      <c r="F164" s="111">
        <f>D164*E164</f>
        <v>0</v>
      </c>
      <c r="G164" s="57" t="e">
        <f>F164*$G$109/$F$109</f>
        <v>#DIV/0!</v>
      </c>
      <c r="H164" s="56" t="e">
        <f t="shared" si="67"/>
        <v>#DIV/0!</v>
      </c>
    </row>
    <row r="165" spans="1:8" s="2" customFormat="1" hidden="1" outlineLevel="2" x14ac:dyDescent="0.25">
      <c r="A165"/>
      <c r="B165" t="s">
        <v>38</v>
      </c>
      <c r="C165" s="58" t="s">
        <v>16</v>
      </c>
      <c r="D165" s="304">
        <v>8</v>
      </c>
      <c r="E165" s="8">
        <v>0</v>
      </c>
      <c r="F165" s="111">
        <f>D165*E165</f>
        <v>0</v>
      </c>
      <c r="G165" s="57" t="e">
        <f>F165*$G$109/$F$109</f>
        <v>#DIV/0!</v>
      </c>
      <c r="H165" s="56" t="e">
        <f t="shared" si="67"/>
        <v>#DIV/0!</v>
      </c>
    </row>
    <row r="166" spans="1:8" s="2" customFormat="1" hidden="1" outlineLevel="1" collapsed="1" x14ac:dyDescent="0.25">
      <c r="A166"/>
      <c r="B166"/>
      <c r="C166" s="58"/>
      <c r="D166" s="304"/>
      <c r="E166" s="8"/>
      <c r="F166" s="111"/>
      <c r="G166" s="57"/>
      <c r="H166" s="56"/>
    </row>
    <row r="167" spans="1:8" s="2" customFormat="1" collapsed="1" x14ac:dyDescent="0.25">
      <c r="A167" s="33" t="s">
        <v>2</v>
      </c>
      <c r="B167" s="19"/>
      <c r="C167" s="62"/>
      <c r="D167" s="321"/>
      <c r="E167" s="20"/>
      <c r="F167" s="89">
        <f>SUM(F168:F170)</f>
        <v>0</v>
      </c>
      <c r="G167" s="100">
        <v>1</v>
      </c>
      <c r="H167" s="46" t="e">
        <f t="shared" si="67"/>
        <v>#DIV/0!</v>
      </c>
    </row>
    <row r="168" spans="1:8" s="2" customFormat="1" hidden="1" outlineLevel="1" x14ac:dyDescent="0.25">
      <c r="A168"/>
      <c r="B168" t="s">
        <v>271</v>
      </c>
      <c r="C168" s="58" t="s">
        <v>16</v>
      </c>
      <c r="D168" s="304">
        <v>12.73</v>
      </c>
      <c r="E168" s="8"/>
      <c r="F168" s="111">
        <f>D168*E168</f>
        <v>0</v>
      </c>
      <c r="G168" s="57" t="e">
        <f>F168*$G$167/$F$167</f>
        <v>#DIV/0!</v>
      </c>
      <c r="H168" s="56" t="e">
        <f t="shared" ref="H168:H184" si="85">F168*$H$7/$F$7</f>
        <v>#DIV/0!</v>
      </c>
    </row>
    <row r="169" spans="1:8" s="2" customFormat="1" hidden="1" outlineLevel="1" x14ac:dyDescent="0.25">
      <c r="A169"/>
      <c r="B169" t="s">
        <v>39</v>
      </c>
      <c r="C169" s="58" t="s">
        <v>16</v>
      </c>
      <c r="D169" s="304">
        <v>11</v>
      </c>
      <c r="E169" s="8"/>
      <c r="F169" s="111">
        <f>D169*E169</f>
        <v>0</v>
      </c>
      <c r="G169" s="57" t="e">
        <f>F169*$G$167/$F$167</f>
        <v>#DIV/0!</v>
      </c>
      <c r="H169" s="56" t="e">
        <f t="shared" si="85"/>
        <v>#DIV/0!</v>
      </c>
    </row>
    <row r="170" spans="1:8" s="2" customFormat="1" hidden="1" outlineLevel="1" x14ac:dyDescent="0.25">
      <c r="A170"/>
      <c r="C170" s="64"/>
      <c r="D170" s="320"/>
      <c r="G170" s="92"/>
      <c r="H170" s="56"/>
    </row>
    <row r="171" spans="1:8" collapsed="1" x14ac:dyDescent="0.25">
      <c r="A171" s="38" t="s">
        <v>55</v>
      </c>
      <c r="B171" s="39"/>
      <c r="C171" s="63"/>
      <c r="D171" s="313"/>
      <c r="E171" s="21"/>
      <c r="F171" s="90">
        <f>SUM(F172:F176)</f>
        <v>0</v>
      </c>
      <c r="G171" s="101">
        <v>1</v>
      </c>
      <c r="H171" s="35" t="e">
        <f t="shared" si="85"/>
        <v>#DIV/0!</v>
      </c>
    </row>
    <row r="172" spans="1:8" hidden="1" outlineLevel="1" x14ac:dyDescent="0.25">
      <c r="B172" t="s">
        <v>272</v>
      </c>
      <c r="C172" s="58" t="s">
        <v>79</v>
      </c>
      <c r="D172" s="304">
        <v>35</v>
      </c>
      <c r="E172" s="8">
        <v>0</v>
      </c>
      <c r="F172" s="111">
        <f t="shared" ref="F172:F174" si="86">D172*E172</f>
        <v>0</v>
      </c>
      <c r="G172" s="92" t="e">
        <f>F172*$G$171/$F$171</f>
        <v>#DIV/0!</v>
      </c>
      <c r="H172" s="56" t="e">
        <f t="shared" si="85"/>
        <v>#DIV/0!</v>
      </c>
    </row>
    <row r="173" spans="1:8" hidden="1" outlineLevel="1" x14ac:dyDescent="0.25">
      <c r="B173" t="s">
        <v>194</v>
      </c>
      <c r="C173" s="58" t="s">
        <v>16</v>
      </c>
      <c r="D173" s="304">
        <v>0.19</v>
      </c>
      <c r="E173" s="8">
        <v>0</v>
      </c>
      <c r="F173" s="111">
        <f t="shared" si="86"/>
        <v>0</v>
      </c>
      <c r="G173" s="92" t="e">
        <f>F173*$G$171/$F$171</f>
        <v>#DIV/0!</v>
      </c>
      <c r="H173" s="56" t="e">
        <f t="shared" ref="H173" si="87">F173*$H$7/$F$7</f>
        <v>#DIV/0!</v>
      </c>
    </row>
    <row r="174" spans="1:8" hidden="1" outlineLevel="1" x14ac:dyDescent="0.25">
      <c r="B174" t="s">
        <v>102</v>
      </c>
      <c r="C174" s="58" t="s">
        <v>80</v>
      </c>
      <c r="D174" s="304">
        <v>60</v>
      </c>
      <c r="E174" s="8"/>
      <c r="F174" s="111">
        <f t="shared" si="86"/>
        <v>0</v>
      </c>
      <c r="G174" s="92" t="e">
        <f>F174*$G$171/$F$171</f>
        <v>#DIV/0!</v>
      </c>
      <c r="H174" s="56" t="e">
        <f t="shared" si="85"/>
        <v>#DIV/0!</v>
      </c>
    </row>
    <row r="175" spans="1:8" hidden="1" outlineLevel="1" x14ac:dyDescent="0.25">
      <c r="B175" t="s">
        <v>255</v>
      </c>
      <c r="C175" s="58" t="s">
        <v>16</v>
      </c>
      <c r="D175" s="304">
        <v>80</v>
      </c>
      <c r="E175" s="8">
        <v>0</v>
      </c>
      <c r="F175" s="111">
        <v>0</v>
      </c>
      <c r="G175" s="92" t="e">
        <f>F175*$G$171/$F$171</f>
        <v>#DIV/0!</v>
      </c>
      <c r="H175" s="56" t="e">
        <f t="shared" si="85"/>
        <v>#DIV/0!</v>
      </c>
    </row>
    <row r="176" spans="1:8" hidden="1" outlineLevel="1" x14ac:dyDescent="0.25">
      <c r="D176" s="304"/>
      <c r="F176" s="3"/>
      <c r="G176" s="92"/>
      <c r="H176" s="56"/>
    </row>
    <row r="177" spans="1:8" collapsed="1" x14ac:dyDescent="0.25">
      <c r="A177" s="43" t="s">
        <v>54</v>
      </c>
      <c r="B177" s="109"/>
      <c r="C177" s="172"/>
      <c r="D177" s="322"/>
      <c r="E177" s="44"/>
      <c r="F177" s="110">
        <f>F178+F186+F191</f>
        <v>0</v>
      </c>
      <c r="G177" s="114">
        <v>1</v>
      </c>
      <c r="H177" s="47" t="e">
        <f>F177*$H$7/$F$7</f>
        <v>#DIV/0!</v>
      </c>
    </row>
    <row r="178" spans="1:8" hidden="1" outlineLevel="1" x14ac:dyDescent="0.25">
      <c r="A178" s="149"/>
      <c r="B178" s="148" t="s">
        <v>67</v>
      </c>
      <c r="C178" s="134"/>
      <c r="D178" s="323"/>
      <c r="E178" s="150"/>
      <c r="F178" s="151">
        <f>SUM(F179:F185)</f>
        <v>0</v>
      </c>
      <c r="G178" s="138" t="e">
        <f>F178*$G$177/F177</f>
        <v>#DIV/0!</v>
      </c>
      <c r="H178" s="152" t="e">
        <f>F178*$H$7/$F$7</f>
        <v>#DIV/0!</v>
      </c>
    </row>
    <row r="179" spans="1:8" hidden="1" outlineLevel="2" x14ac:dyDescent="0.25">
      <c r="A179" s="2"/>
      <c r="B179" s="2" t="s">
        <v>261</v>
      </c>
      <c r="C179" s="58" t="s">
        <v>16</v>
      </c>
      <c r="D179" s="304">
        <v>0</v>
      </c>
      <c r="E179" s="8">
        <v>0</v>
      </c>
      <c r="F179" s="5">
        <f>D179*E179</f>
        <v>0</v>
      </c>
      <c r="G179" s="93" t="e">
        <f>F179*$G$177/$F$177</f>
        <v>#DIV/0!</v>
      </c>
      <c r="H179" s="56" t="e">
        <f>F179*$H$7/$F$7</f>
        <v>#DIV/0!</v>
      </c>
    </row>
    <row r="180" spans="1:8" hidden="1" outlineLevel="2" x14ac:dyDescent="0.25">
      <c r="B180" s="2" t="s">
        <v>85</v>
      </c>
      <c r="C180" s="58" t="s">
        <v>16</v>
      </c>
      <c r="D180" s="304">
        <v>0</v>
      </c>
      <c r="E180" s="8">
        <v>0</v>
      </c>
      <c r="F180" s="5">
        <f t="shared" ref="F180:F184" si="88">D180*E180</f>
        <v>0</v>
      </c>
      <c r="G180" s="93" t="e">
        <f>F180*$G$177/$F$177</f>
        <v>#DIV/0!</v>
      </c>
      <c r="H180" s="56" t="e">
        <f t="shared" si="85"/>
        <v>#DIV/0!</v>
      </c>
    </row>
    <row r="181" spans="1:8" hidden="1" outlineLevel="2" x14ac:dyDescent="0.25">
      <c r="B181" s="2" t="s">
        <v>86</v>
      </c>
      <c r="C181" s="58" t="s">
        <v>16</v>
      </c>
      <c r="D181" s="304">
        <v>0</v>
      </c>
      <c r="E181" s="8">
        <v>0</v>
      </c>
      <c r="F181" s="5">
        <f t="shared" si="88"/>
        <v>0</v>
      </c>
      <c r="G181" s="93" t="e">
        <f>F181*$G$177/$F$177</f>
        <v>#DIV/0!</v>
      </c>
      <c r="H181" s="56" t="e">
        <f t="shared" si="85"/>
        <v>#DIV/0!</v>
      </c>
    </row>
    <row r="182" spans="1:8" hidden="1" outlineLevel="2" x14ac:dyDescent="0.25">
      <c r="B182" s="2" t="s">
        <v>86</v>
      </c>
      <c r="C182" s="58" t="s">
        <v>16</v>
      </c>
      <c r="D182" s="304">
        <v>0</v>
      </c>
      <c r="E182" s="8">
        <v>0</v>
      </c>
      <c r="F182" s="5">
        <f t="shared" si="88"/>
        <v>0</v>
      </c>
      <c r="G182" s="93" t="e">
        <f t="shared" ref="G182:G184" si="89">F182*$G$177/$F$177</f>
        <v>#DIV/0!</v>
      </c>
      <c r="H182" s="56" t="e">
        <f t="shared" si="85"/>
        <v>#DIV/0!</v>
      </c>
    </row>
    <row r="183" spans="1:8" s="2" customFormat="1" hidden="1" outlineLevel="2" x14ac:dyDescent="0.25">
      <c r="A183" s="91"/>
      <c r="B183" s="2" t="s">
        <v>87</v>
      </c>
      <c r="C183" s="58" t="s">
        <v>16</v>
      </c>
      <c r="D183" s="304">
        <v>0</v>
      </c>
      <c r="E183" s="8">
        <v>0</v>
      </c>
      <c r="F183" s="5">
        <f t="shared" si="88"/>
        <v>0</v>
      </c>
      <c r="G183" s="93" t="e">
        <f t="shared" si="89"/>
        <v>#DIV/0!</v>
      </c>
      <c r="H183" s="56" t="e">
        <f t="shared" si="85"/>
        <v>#DIV/0!</v>
      </c>
    </row>
    <row r="184" spans="1:8" s="2" customFormat="1" hidden="1" outlineLevel="2" x14ac:dyDescent="0.25">
      <c r="A184"/>
      <c r="B184" s="2" t="s">
        <v>87</v>
      </c>
      <c r="C184" s="58" t="s">
        <v>16</v>
      </c>
      <c r="D184" s="304">
        <v>0</v>
      </c>
      <c r="E184" s="8">
        <v>0</v>
      </c>
      <c r="F184" s="5">
        <f t="shared" si="88"/>
        <v>0</v>
      </c>
      <c r="G184" s="93" t="e">
        <f t="shared" si="89"/>
        <v>#DIV/0!</v>
      </c>
      <c r="H184" s="56" t="e">
        <f t="shared" si="85"/>
        <v>#DIV/0!</v>
      </c>
    </row>
    <row r="185" spans="1:8" s="2" customFormat="1" hidden="1" outlineLevel="2" x14ac:dyDescent="0.25">
      <c r="A185"/>
      <c r="B185"/>
      <c r="C185" s="58"/>
      <c r="D185" s="304"/>
      <c r="E185" s="8"/>
      <c r="F185" s="5"/>
      <c r="G185" s="93"/>
      <c r="H185" s="56"/>
    </row>
    <row r="186" spans="1:8" s="2" customFormat="1" hidden="1" outlineLevel="1" collapsed="1" x14ac:dyDescent="0.25">
      <c r="A186" s="142"/>
      <c r="B186" s="143" t="s">
        <v>10</v>
      </c>
      <c r="C186" s="133"/>
      <c r="D186" s="324"/>
      <c r="E186" s="144"/>
      <c r="F186" s="145">
        <f>SUM(F187:F190)</f>
        <v>0</v>
      </c>
      <c r="G186" s="146" t="e">
        <f>F186*$G$177/F177</f>
        <v>#DIV/0!</v>
      </c>
      <c r="H186" s="147" t="e">
        <f>F186*$H$7/$F$7</f>
        <v>#DIV/0!</v>
      </c>
    </row>
    <row r="187" spans="1:8" s="2" customFormat="1" hidden="1" outlineLevel="2" x14ac:dyDescent="0.25">
      <c r="A187"/>
      <c r="B187" t="s">
        <v>68</v>
      </c>
      <c r="C187" s="58" t="s">
        <v>16</v>
      </c>
      <c r="D187" s="304">
        <v>0</v>
      </c>
      <c r="E187" s="8">
        <v>0</v>
      </c>
      <c r="F187" s="5">
        <f>D187*E187</f>
        <v>0</v>
      </c>
      <c r="G187" s="93" t="e">
        <f>F187*$G$177/$F$177</f>
        <v>#DIV/0!</v>
      </c>
      <c r="H187" s="56" t="e">
        <f>F187*$H$7/$F$7</f>
        <v>#DIV/0!</v>
      </c>
    </row>
    <row r="188" spans="1:8" s="2" customFormat="1" hidden="1" outlineLevel="2" x14ac:dyDescent="0.25">
      <c r="A188"/>
      <c r="B188" t="s">
        <v>69</v>
      </c>
      <c r="C188" s="58" t="s">
        <v>16</v>
      </c>
      <c r="D188" s="304">
        <v>0</v>
      </c>
      <c r="E188" s="8">
        <v>0</v>
      </c>
      <c r="F188" s="5">
        <f t="shared" ref="F188:F189" si="90">D188*E188</f>
        <v>0</v>
      </c>
      <c r="G188" s="93" t="e">
        <f>F188*$G$177/$F$177</f>
        <v>#DIV/0!</v>
      </c>
      <c r="H188" s="56" t="e">
        <f>F188*$H$7/$F$7</f>
        <v>#DIV/0!</v>
      </c>
    </row>
    <row r="189" spans="1:8" s="2" customFormat="1" hidden="1" outlineLevel="2" x14ac:dyDescent="0.25">
      <c r="A189"/>
      <c r="B189" t="s">
        <v>88</v>
      </c>
      <c r="C189" s="58" t="s">
        <v>16</v>
      </c>
      <c r="D189" s="304">
        <v>0</v>
      </c>
      <c r="E189" s="8">
        <v>0</v>
      </c>
      <c r="F189" s="5">
        <f t="shared" si="90"/>
        <v>0</v>
      </c>
      <c r="G189" s="93" t="e">
        <f>F189*$G$177/$F$177</f>
        <v>#DIV/0!</v>
      </c>
      <c r="H189" s="56" t="e">
        <f>F189*$H$7/$F$7</f>
        <v>#DIV/0!</v>
      </c>
    </row>
    <row r="190" spans="1:8" s="2" customFormat="1" hidden="1" outlineLevel="2" x14ac:dyDescent="0.25"/>
    <row r="191" spans="1:8" s="2" customFormat="1" hidden="1" outlineLevel="1" collapsed="1" x14ac:dyDescent="0.25">
      <c r="A191" s="142"/>
      <c r="B191" s="143" t="s">
        <v>195</v>
      </c>
      <c r="C191" s="133"/>
      <c r="D191" s="324"/>
      <c r="E191" s="144"/>
      <c r="F191" s="145">
        <f>SUM(F192:F193)</f>
        <v>0</v>
      </c>
      <c r="G191" s="146" t="e">
        <f>F191*$G$177/F177</f>
        <v>#DIV/0!</v>
      </c>
      <c r="H191" s="147" t="e">
        <f>F191*$H$7/$F$7</f>
        <v>#DIV/0!</v>
      </c>
    </row>
    <row r="192" spans="1:8" s="2" customFormat="1" hidden="1" outlineLevel="2" x14ac:dyDescent="0.25">
      <c r="A192"/>
      <c r="B192" t="s">
        <v>196</v>
      </c>
      <c r="C192" s="58" t="s">
        <v>16</v>
      </c>
      <c r="D192" s="304">
        <v>0</v>
      </c>
      <c r="E192" s="8">
        <v>0</v>
      </c>
      <c r="F192" s="5">
        <f>D192*E192</f>
        <v>0</v>
      </c>
      <c r="G192" s="93" t="e">
        <f>F192*$G$177/$F$177</f>
        <v>#DIV/0!</v>
      </c>
      <c r="H192" s="56" t="e">
        <f t="shared" ref="H192" si="91">F192*$H$7/$F$7</f>
        <v>#DIV/0!</v>
      </c>
    </row>
    <row r="193" spans="1:8" s="2" customFormat="1" ht="17.25" hidden="1" customHeight="1" outlineLevel="1" collapsed="1" x14ac:dyDescent="0.25">
      <c r="B193"/>
      <c r="C193" s="58"/>
      <c r="D193" s="304"/>
      <c r="E193" s="8"/>
      <c r="F193" s="5"/>
      <c r="G193" s="93"/>
      <c r="H193" s="56"/>
    </row>
    <row r="194" spans="1:8" s="2" customFormat="1" collapsed="1" x14ac:dyDescent="0.25">
      <c r="A194" s="128" t="s">
        <v>50</v>
      </c>
      <c r="B194" s="129"/>
      <c r="C194" s="173"/>
      <c r="D194" s="325"/>
      <c r="E194" s="130"/>
      <c r="F194" s="135">
        <f>F195+F200</f>
        <v>0</v>
      </c>
      <c r="G194" s="131">
        <v>1</v>
      </c>
      <c r="H194" s="132" t="e">
        <f>F194*$H$7/$F$7</f>
        <v>#DIV/0!</v>
      </c>
    </row>
    <row r="195" spans="1:8" s="2" customFormat="1" hidden="1" outlineLevel="1" x14ac:dyDescent="0.25">
      <c r="A195" s="360"/>
      <c r="B195" s="361" t="s">
        <v>51</v>
      </c>
      <c r="C195" s="362"/>
      <c r="D195" s="363"/>
      <c r="E195" s="364"/>
      <c r="F195" s="365">
        <f>SUM(F196:F198)</f>
        <v>0</v>
      </c>
      <c r="G195" s="383" t="e">
        <f>F195*$G$194/F194</f>
        <v>#DIV/0!</v>
      </c>
      <c r="H195" s="366" t="e">
        <f>F195*$H$7/$F$7</f>
        <v>#DIV/0!</v>
      </c>
    </row>
    <row r="196" spans="1:8" hidden="1" outlineLevel="2" x14ac:dyDescent="0.25">
      <c r="B196" t="s">
        <v>233</v>
      </c>
      <c r="C196" s="58" t="s">
        <v>81</v>
      </c>
      <c r="D196" s="304">
        <v>0</v>
      </c>
      <c r="E196" s="8">
        <v>0</v>
      </c>
      <c r="F196" s="5">
        <f>D196*E196</f>
        <v>0</v>
      </c>
      <c r="G196" s="93" t="e">
        <f>F196*$G$177/$F$177</f>
        <v>#DIV/0!</v>
      </c>
      <c r="H196" s="56" t="e">
        <f t="shared" ref="H196:H200" si="92">F196*$H$7/$F$7</f>
        <v>#DIV/0!</v>
      </c>
    </row>
    <row r="197" spans="1:8" hidden="1" outlineLevel="2" x14ac:dyDescent="0.25">
      <c r="B197" t="s">
        <v>233</v>
      </c>
      <c r="C197" s="58" t="s">
        <v>81</v>
      </c>
      <c r="D197" s="304">
        <v>0</v>
      </c>
      <c r="E197" s="8">
        <v>0</v>
      </c>
      <c r="F197" s="5">
        <f>D197*E197</f>
        <v>0</v>
      </c>
      <c r="G197" s="93" t="e">
        <f>F197*$G$177/$F$177</f>
        <v>#DIV/0!</v>
      </c>
      <c r="H197" s="56" t="e">
        <f t="shared" si="92"/>
        <v>#DIV/0!</v>
      </c>
    </row>
    <row r="198" spans="1:8" hidden="1" outlineLevel="2" x14ac:dyDescent="0.25">
      <c r="B198" t="s">
        <v>233</v>
      </c>
      <c r="C198" s="58" t="s">
        <v>81</v>
      </c>
      <c r="D198" s="304">
        <v>0</v>
      </c>
      <c r="E198" s="8">
        <v>0</v>
      </c>
      <c r="F198" s="5">
        <f>D198*E198</f>
        <v>0</v>
      </c>
      <c r="G198" s="93" t="e">
        <f>F198*$G$177/$F$177</f>
        <v>#DIV/0!</v>
      </c>
      <c r="H198" s="56" t="e">
        <f t="shared" si="92"/>
        <v>#DIV/0!</v>
      </c>
    </row>
    <row r="199" spans="1:8" hidden="1" outlineLevel="2" x14ac:dyDescent="0.25">
      <c r="D199" s="304"/>
      <c r="E199" s="8"/>
      <c r="F199" s="5"/>
      <c r="H199" s="56"/>
    </row>
    <row r="200" spans="1:8" hidden="1" outlineLevel="1" collapsed="1" x14ac:dyDescent="0.25">
      <c r="A200" s="367"/>
      <c r="B200" s="355" t="s">
        <v>52</v>
      </c>
      <c r="C200" s="356"/>
      <c r="D200" s="357"/>
      <c r="E200" s="358"/>
      <c r="F200" s="359">
        <f>SUM(F201:F203)</f>
        <v>0</v>
      </c>
      <c r="G200" s="384" t="e">
        <f>F200*$G$194/F194</f>
        <v>#DIV/0!</v>
      </c>
      <c r="H200" s="272" t="e">
        <f t="shared" si="92"/>
        <v>#DIV/0!</v>
      </c>
    </row>
    <row r="201" spans="1:8" hidden="1" outlineLevel="2" x14ac:dyDescent="0.25">
      <c r="B201" t="s">
        <v>234</v>
      </c>
      <c r="C201" s="58" t="s">
        <v>81</v>
      </c>
      <c r="D201" s="304">
        <v>0</v>
      </c>
      <c r="E201" s="8">
        <v>0</v>
      </c>
      <c r="F201" s="5">
        <f>D201*E201</f>
        <v>0</v>
      </c>
      <c r="G201" s="93" t="e">
        <f>F201*$G$177/$F$177</f>
        <v>#DIV/0!</v>
      </c>
      <c r="H201" s="56" t="e">
        <f t="shared" ref="H201:H203" si="93">F201*$H$7/$F$7</f>
        <v>#DIV/0!</v>
      </c>
    </row>
    <row r="202" spans="1:8" hidden="1" outlineLevel="2" x14ac:dyDescent="0.25">
      <c r="B202" t="s">
        <v>234</v>
      </c>
      <c r="C202" s="58" t="s">
        <v>81</v>
      </c>
      <c r="D202" s="304">
        <v>0</v>
      </c>
      <c r="E202" s="8">
        <v>0</v>
      </c>
      <c r="F202" s="5">
        <f t="shared" ref="F202:F203" si="94">D202*E202</f>
        <v>0</v>
      </c>
      <c r="G202" s="93" t="e">
        <f>F202*$G$177/$F$177</f>
        <v>#DIV/0!</v>
      </c>
      <c r="H202" s="56" t="e">
        <f t="shared" si="93"/>
        <v>#DIV/0!</v>
      </c>
    </row>
    <row r="203" spans="1:8" hidden="1" outlineLevel="2" x14ac:dyDescent="0.25">
      <c r="B203" t="s">
        <v>234</v>
      </c>
      <c r="C203" s="58" t="s">
        <v>81</v>
      </c>
      <c r="D203" s="304">
        <v>0</v>
      </c>
      <c r="E203" s="8">
        <v>0</v>
      </c>
      <c r="F203" s="5">
        <f t="shared" si="94"/>
        <v>0</v>
      </c>
      <c r="G203" s="93" t="e">
        <f>F203*$G$177/$F$177</f>
        <v>#DIV/0!</v>
      </c>
      <c r="H203" s="56" t="e">
        <f t="shared" si="93"/>
        <v>#DIV/0!</v>
      </c>
    </row>
    <row r="204" spans="1:8" hidden="1" outlineLevel="1" collapsed="1" x14ac:dyDescent="0.25">
      <c r="D204" s="304"/>
    </row>
    <row r="205" spans="1:8" collapsed="1" x14ac:dyDescent="0.25">
      <c r="A205" s="14" t="s">
        <v>7</v>
      </c>
      <c r="B205" s="153"/>
      <c r="C205" s="174"/>
      <c r="D205" s="326"/>
      <c r="E205" s="155"/>
      <c r="F205" s="156">
        <f>SUM(F206:F207)</f>
        <v>0</v>
      </c>
      <c r="G205" s="154">
        <v>1</v>
      </c>
      <c r="H205" s="157" t="e">
        <f>F205*$H$7/$F$7</f>
        <v>#DIV/0!</v>
      </c>
    </row>
    <row r="206" spans="1:8" hidden="1" outlineLevel="1" x14ac:dyDescent="0.25">
      <c r="B206" s="2" t="s">
        <v>7</v>
      </c>
      <c r="C206" s="58" t="s">
        <v>16</v>
      </c>
      <c r="D206" s="304">
        <v>0</v>
      </c>
      <c r="E206" s="8">
        <v>0</v>
      </c>
      <c r="F206" s="5">
        <f>D206*E206</f>
        <v>0</v>
      </c>
      <c r="G206" s="93" t="e">
        <f>F206*$G$205/$F$205</f>
        <v>#DIV/0!</v>
      </c>
      <c r="H206" s="56" t="e">
        <f t="shared" ref="H206:H207" si="95">F206*$H$7/$F$7</f>
        <v>#DIV/0!</v>
      </c>
    </row>
    <row r="207" spans="1:8" hidden="1" outlineLevel="1" x14ac:dyDescent="0.25">
      <c r="B207" s="2" t="s">
        <v>7</v>
      </c>
      <c r="C207" s="58" t="s">
        <v>16</v>
      </c>
      <c r="D207" s="304">
        <v>0</v>
      </c>
      <c r="E207" s="8">
        <v>0</v>
      </c>
      <c r="F207" s="5">
        <f>D207*E207</f>
        <v>0</v>
      </c>
      <c r="G207" s="93" t="e">
        <f>F207*$G$205/$F$205</f>
        <v>#DIV/0!</v>
      </c>
      <c r="H207" s="56" t="e">
        <f t="shared" si="95"/>
        <v>#DIV/0!</v>
      </c>
    </row>
    <row r="208" spans="1:8" hidden="1" outlineLevel="1" x14ac:dyDescent="0.25">
      <c r="D208" s="304"/>
    </row>
    <row r="209" spans="4:4" collapsed="1" x14ac:dyDescent="0.25">
      <c r="D209" s="304"/>
    </row>
    <row r="210" spans="4:4" x14ac:dyDescent="0.25">
      <c r="D210" s="304"/>
    </row>
    <row r="211" spans="4:4" x14ac:dyDescent="0.25">
      <c r="D211" s="304"/>
    </row>
    <row r="212" spans="4:4" x14ac:dyDescent="0.25">
      <c r="D212" s="304"/>
    </row>
    <row r="213" spans="4:4" x14ac:dyDescent="0.25">
      <c r="D213" s="304"/>
    </row>
    <row r="214" spans="4:4" x14ac:dyDescent="0.25">
      <c r="D214" s="304"/>
    </row>
    <row r="215" spans="4:4" x14ac:dyDescent="0.25">
      <c r="D215" s="304"/>
    </row>
    <row r="216" spans="4:4" x14ac:dyDescent="0.25">
      <c r="D216" s="304"/>
    </row>
    <row r="217" spans="4:4" x14ac:dyDescent="0.25">
      <c r="D217" s="304"/>
    </row>
    <row r="218" spans="4:4" x14ac:dyDescent="0.25">
      <c r="D218" s="304"/>
    </row>
    <row r="219" spans="4:4" x14ac:dyDescent="0.25">
      <c r="D219" s="304"/>
    </row>
    <row r="220" spans="4:4" x14ac:dyDescent="0.25">
      <c r="D220" s="304"/>
    </row>
    <row r="221" spans="4:4" x14ac:dyDescent="0.25">
      <c r="D221" s="304"/>
    </row>
    <row r="222" spans="4:4" x14ac:dyDescent="0.25">
      <c r="D222" s="304"/>
    </row>
    <row r="223" spans="4:4" x14ac:dyDescent="0.25">
      <c r="D223" s="304"/>
    </row>
    <row r="224" spans="4:4" x14ac:dyDescent="0.25">
      <c r="D224" s="304"/>
    </row>
    <row r="225" spans="4:4" x14ac:dyDescent="0.25">
      <c r="D225" s="304"/>
    </row>
    <row r="226" spans="4:4" x14ac:dyDescent="0.25">
      <c r="D226" s="304"/>
    </row>
    <row r="227" spans="4:4" x14ac:dyDescent="0.25">
      <c r="D227" s="304"/>
    </row>
  </sheetData>
  <mergeCells count="6">
    <mergeCell ref="B2:C2"/>
    <mergeCell ref="G1:H1"/>
    <mergeCell ref="G2:H2"/>
    <mergeCell ref="G4:H4"/>
    <mergeCell ref="G5:H5"/>
    <mergeCell ref="G3:H3"/>
  </mergeCells>
  <phoneticPr fontId="22" type="noConversion"/>
  <pageMargins left="0.511811024" right="0.511811024" top="0.78740157499999996" bottom="0.78740157499999996" header="0.31496062000000002" footer="0.31496062000000002"/>
  <pageSetup paperSize="9" scale="69" orientation="landscape" horizontalDpi="30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K55"/>
  <sheetViews>
    <sheetView zoomScale="115" zoomScaleNormal="115" workbookViewId="0">
      <selection activeCell="E20" sqref="E20"/>
    </sheetView>
  </sheetViews>
  <sheetFormatPr defaultRowHeight="15" outlineLevelRow="1" x14ac:dyDescent="0.25"/>
  <cols>
    <col min="1" max="1" width="2.7109375" customWidth="1"/>
    <col min="2" max="2" width="77.42578125" customWidth="1"/>
    <col min="3" max="3" width="15.7109375" customWidth="1"/>
    <col min="4" max="4" width="14.140625" style="58" customWidth="1"/>
    <col min="5" max="6" width="16.28515625" customWidth="1"/>
    <col min="7" max="7" width="14.5703125" customWidth="1"/>
    <col min="8" max="8" width="9.85546875" customWidth="1"/>
  </cols>
  <sheetData>
    <row r="1" spans="1:8" ht="15.75" x14ac:dyDescent="0.25">
      <c r="B1" s="386" t="s">
        <v>42</v>
      </c>
      <c r="C1" s="386"/>
      <c r="D1" s="386"/>
      <c r="E1" s="7"/>
      <c r="F1" s="113" t="s">
        <v>45</v>
      </c>
      <c r="G1" s="388" t="str">
        <f>'CADASTRO CLIENTE'!C5</f>
        <v>10.01.20</v>
      </c>
      <c r="H1" s="388"/>
    </row>
    <row r="2" spans="1:8" x14ac:dyDescent="0.25">
      <c r="E2" s="7"/>
      <c r="F2" s="113" t="s">
        <v>43</v>
      </c>
      <c r="G2" s="389">
        <f>'CADASTRO CLIENTE'!C6</f>
        <v>0</v>
      </c>
      <c r="H2" s="389"/>
    </row>
    <row r="3" spans="1:8" ht="15.75" x14ac:dyDescent="0.25">
      <c r="B3" s="16" t="s">
        <v>58</v>
      </c>
      <c r="C3" s="262" t="str">
        <f>'CADASTRO CLIENTE'!E3</f>
        <v>10.01.20</v>
      </c>
      <c r="D3" s="159"/>
      <c r="E3" s="7"/>
      <c r="F3" s="113" t="s">
        <v>57</v>
      </c>
      <c r="G3" s="389">
        <f>'CADASTRO CLIENTE'!C7</f>
        <v>0</v>
      </c>
      <c r="H3" s="389"/>
    </row>
    <row r="4" spans="1:8" x14ac:dyDescent="0.25">
      <c r="B4" s="16" t="s">
        <v>169</v>
      </c>
      <c r="C4" s="353">
        <v>7200</v>
      </c>
      <c r="D4" s="262"/>
      <c r="E4" s="7"/>
      <c r="F4" s="113" t="s">
        <v>44</v>
      </c>
      <c r="G4" s="389">
        <f>'CADASTRO CLIENTE'!C8</f>
        <v>0</v>
      </c>
      <c r="H4" s="389"/>
    </row>
    <row r="5" spans="1:8" x14ac:dyDescent="0.25">
      <c r="B5" s="16" t="s">
        <v>106</v>
      </c>
      <c r="C5" s="354">
        <v>22</v>
      </c>
      <c r="D5" s="375">
        <f>C4/C5</f>
        <v>327.27272727272725</v>
      </c>
      <c r="E5" s="7"/>
      <c r="F5" s="16" t="s">
        <v>47</v>
      </c>
      <c r="G5" s="389">
        <f>'CADASTRO CLIENTE'!C9</f>
        <v>0</v>
      </c>
      <c r="H5" s="389"/>
    </row>
    <row r="6" spans="1:8" x14ac:dyDescent="0.25">
      <c r="C6" s="58"/>
      <c r="D6" s="7"/>
      <c r="E6" s="7"/>
      <c r="F6" s="16"/>
      <c r="G6" s="176"/>
      <c r="H6" s="176"/>
    </row>
    <row r="7" spans="1:8" ht="45" x14ac:dyDescent="0.25">
      <c r="A7" s="48"/>
      <c r="B7" s="49" t="s">
        <v>49</v>
      </c>
      <c r="C7" s="136" t="s">
        <v>16</v>
      </c>
      <c r="D7" s="50" t="s">
        <v>167</v>
      </c>
      <c r="E7" s="50" t="s">
        <v>46</v>
      </c>
      <c r="F7" s="50" t="s">
        <v>48</v>
      </c>
      <c r="G7" s="94" t="s">
        <v>13</v>
      </c>
      <c r="H7" s="51" t="s">
        <v>14</v>
      </c>
    </row>
    <row r="8" spans="1:8" x14ac:dyDescent="0.25">
      <c r="A8" s="45" t="s">
        <v>8</v>
      </c>
      <c r="B8" s="41"/>
      <c r="C8" s="59"/>
      <c r="D8" s="42"/>
      <c r="E8" s="42"/>
      <c r="F8" s="55">
        <f>F9+F14+F19+F31+F38</f>
        <v>0</v>
      </c>
      <c r="G8" s="95"/>
      <c r="H8" s="112">
        <v>1</v>
      </c>
    </row>
    <row r="9" spans="1:8" x14ac:dyDescent="0.25">
      <c r="A9" s="394" t="s">
        <v>180</v>
      </c>
      <c r="B9" s="394"/>
      <c r="C9" s="285"/>
      <c r="D9" s="286"/>
      <c r="E9" s="286"/>
      <c r="F9" s="287">
        <f>SUM(F10:F13)</f>
        <v>0</v>
      </c>
      <c r="G9" s="288">
        <v>1</v>
      </c>
      <c r="H9" s="291" t="e">
        <f>F9*$H$8/$F$8</f>
        <v>#DIV/0!</v>
      </c>
    </row>
    <row r="10" spans="1:8" outlineLevel="1" x14ac:dyDescent="0.25">
      <c r="A10" s="289"/>
      <c r="B10" s="290" t="s">
        <v>181</v>
      </c>
      <c r="C10" s="263" t="s">
        <v>262</v>
      </c>
      <c r="D10" s="276">
        <v>15</v>
      </c>
      <c r="E10" s="8">
        <v>0</v>
      </c>
      <c r="F10" s="5">
        <f>D10*E10</f>
        <v>0</v>
      </c>
      <c r="G10" s="102" t="e">
        <f>F10*$G$9/$F$9</f>
        <v>#DIV/0!</v>
      </c>
      <c r="H10" s="56" t="e">
        <f>F10*$H$8/$F$8</f>
        <v>#DIV/0!</v>
      </c>
    </row>
    <row r="11" spans="1:8" outlineLevel="1" x14ac:dyDescent="0.25">
      <c r="A11" s="289"/>
      <c r="B11" s="290" t="s">
        <v>182</v>
      </c>
      <c r="C11" s="263" t="s">
        <v>166</v>
      </c>
      <c r="D11" s="276">
        <v>15</v>
      </c>
      <c r="E11" s="8">
        <v>0</v>
      </c>
      <c r="F11" s="5">
        <f>D11*E11</f>
        <v>0</v>
      </c>
      <c r="G11" s="102" t="e">
        <f t="shared" ref="G11:G12" si="0">F11*$G$9/$F$9</f>
        <v>#DIV/0!</v>
      </c>
      <c r="H11" s="56" t="e">
        <f>F11*$H$8/$F$8</f>
        <v>#DIV/0!</v>
      </c>
    </row>
    <row r="12" spans="1:8" outlineLevel="1" x14ac:dyDescent="0.25">
      <c r="A12" s="289"/>
      <c r="B12" s="290" t="s">
        <v>183</v>
      </c>
      <c r="C12" s="263" t="s">
        <v>166</v>
      </c>
      <c r="D12" s="276">
        <v>15</v>
      </c>
      <c r="E12" s="8">
        <v>0</v>
      </c>
      <c r="F12" s="5">
        <f>D12*E12</f>
        <v>0</v>
      </c>
      <c r="G12" s="102" t="e">
        <f t="shared" si="0"/>
        <v>#DIV/0!</v>
      </c>
      <c r="H12" s="56" t="e">
        <f>F12*$H$8/$F$8</f>
        <v>#DIV/0!</v>
      </c>
    </row>
    <row r="13" spans="1:8" outlineLevel="1" x14ac:dyDescent="0.25">
      <c r="A13" s="2"/>
      <c r="B13" s="280"/>
      <c r="C13" s="281"/>
      <c r="D13" s="282"/>
      <c r="E13" s="282"/>
      <c r="F13" s="283"/>
      <c r="G13" s="102"/>
      <c r="H13" s="284"/>
    </row>
    <row r="14" spans="1:8" x14ac:dyDescent="0.25">
      <c r="A14" s="393" t="s">
        <v>168</v>
      </c>
      <c r="B14" s="393"/>
      <c r="C14" s="265"/>
      <c r="D14" s="266"/>
      <c r="E14" s="266"/>
      <c r="F14" s="267">
        <f>SUM(F15:F18)</f>
        <v>0</v>
      </c>
      <c r="G14" s="268">
        <v>1</v>
      </c>
      <c r="H14" s="108" t="e">
        <f>F14*$H$8/$F$8</f>
        <v>#DIV/0!</v>
      </c>
    </row>
    <row r="15" spans="1:8" outlineLevel="1" x14ac:dyDescent="0.25">
      <c r="A15" s="2"/>
      <c r="B15" t="s">
        <v>236</v>
      </c>
      <c r="C15" s="263" t="s">
        <v>166</v>
      </c>
      <c r="D15" s="276">
        <v>30</v>
      </c>
      <c r="E15" s="8">
        <v>0</v>
      </c>
      <c r="F15" s="5">
        <f>D15*E15</f>
        <v>0</v>
      </c>
      <c r="G15" s="102" t="e">
        <f>F15*G14/F14</f>
        <v>#DIV/0!</v>
      </c>
      <c r="H15" s="56" t="e">
        <f>F15*$H$8/$F$8</f>
        <v>#DIV/0!</v>
      </c>
    </row>
    <row r="16" spans="1:8" outlineLevel="1" x14ac:dyDescent="0.25">
      <c r="A16" s="2"/>
      <c r="B16" s="264" t="s">
        <v>237</v>
      </c>
      <c r="C16" s="263" t="s">
        <v>166</v>
      </c>
      <c r="D16" s="276">
        <v>0</v>
      </c>
      <c r="E16" s="8">
        <v>0</v>
      </c>
      <c r="F16" s="5">
        <f>D16*E16</f>
        <v>0</v>
      </c>
      <c r="G16" s="102" t="e">
        <f t="shared" ref="G16:G17" si="1">F16*G15/F15</f>
        <v>#DIV/0!</v>
      </c>
      <c r="H16" s="56" t="e">
        <f t="shared" ref="H16:H17" si="2">F16*$H$8/$F$8</f>
        <v>#DIV/0!</v>
      </c>
    </row>
    <row r="17" spans="1:8" outlineLevel="1" x14ac:dyDescent="0.25">
      <c r="A17" s="2"/>
      <c r="B17" s="264" t="s">
        <v>238</v>
      </c>
      <c r="C17" s="263" t="s">
        <v>166</v>
      </c>
      <c r="D17" s="276">
        <v>0</v>
      </c>
      <c r="E17" s="8">
        <v>0</v>
      </c>
      <c r="F17" s="5">
        <f>D17*E17</f>
        <v>0</v>
      </c>
      <c r="G17" s="102" t="e">
        <f t="shared" si="1"/>
        <v>#DIV/0!</v>
      </c>
      <c r="H17" s="56" t="e">
        <f t="shared" si="2"/>
        <v>#DIV/0!</v>
      </c>
    </row>
    <row r="18" spans="1:8" outlineLevel="1" x14ac:dyDescent="0.25">
      <c r="A18" s="2"/>
      <c r="B18" s="264"/>
      <c r="C18" s="263"/>
      <c r="D18" s="276"/>
      <c r="E18" s="8"/>
      <c r="F18" s="5"/>
      <c r="G18" s="102"/>
      <c r="H18" s="56"/>
    </row>
    <row r="19" spans="1:8" x14ac:dyDescent="0.25">
      <c r="A19" s="391" t="s">
        <v>103</v>
      </c>
      <c r="B19" s="391"/>
      <c r="C19" s="273"/>
      <c r="D19" s="274"/>
      <c r="E19" s="274"/>
      <c r="F19" s="275">
        <f>SUM(F20:F30)</f>
        <v>0</v>
      </c>
      <c r="G19" s="271">
        <v>1</v>
      </c>
      <c r="H19" s="272" t="e">
        <f t="shared" ref="H19:H40" si="3">F19*$H$8/$F$8</f>
        <v>#DIV/0!</v>
      </c>
    </row>
    <row r="20" spans="1:8" outlineLevel="1" x14ac:dyDescent="0.25">
      <c r="B20" t="s">
        <v>242</v>
      </c>
      <c r="C20" s="58" t="s">
        <v>104</v>
      </c>
      <c r="D20" s="7">
        <v>409</v>
      </c>
      <c r="E20" s="8"/>
      <c r="F20" s="5">
        <f>D20*E20</f>
        <v>0</v>
      </c>
      <c r="G20" s="102" t="e">
        <f>F20*$G$19/F19</f>
        <v>#DIV/0!</v>
      </c>
      <c r="H20" s="56" t="e">
        <f t="shared" si="3"/>
        <v>#DIV/0!</v>
      </c>
    </row>
    <row r="21" spans="1:8" outlineLevel="1" x14ac:dyDescent="0.25">
      <c r="B21" t="s">
        <v>243</v>
      </c>
      <c r="C21" s="58" t="s">
        <v>262</v>
      </c>
      <c r="D21" s="7">
        <v>0</v>
      </c>
      <c r="E21" s="8">
        <v>0</v>
      </c>
      <c r="F21" s="5">
        <f>D21*E21</f>
        <v>0</v>
      </c>
      <c r="G21" s="102" t="e">
        <f>F21*$G$19/F19</f>
        <v>#DIV/0!</v>
      </c>
      <c r="H21" s="56" t="e">
        <f t="shared" ref="H21" si="4">F21*$H$8/$F$8</f>
        <v>#DIV/0!</v>
      </c>
    </row>
    <row r="22" spans="1:8" outlineLevel="1" x14ac:dyDescent="0.25">
      <c r="C22" s="58"/>
      <c r="D22" s="7"/>
      <c r="E22" s="8"/>
      <c r="F22" s="5"/>
      <c r="G22" s="102"/>
      <c r="H22" s="56"/>
    </row>
    <row r="23" spans="1:8" outlineLevel="1" x14ac:dyDescent="0.25">
      <c r="B23" t="s">
        <v>239</v>
      </c>
      <c r="C23" s="58" t="s">
        <v>104</v>
      </c>
      <c r="D23" s="7">
        <v>0</v>
      </c>
      <c r="E23" s="8">
        <v>0</v>
      </c>
      <c r="F23" s="5">
        <f>D23*E23</f>
        <v>0</v>
      </c>
      <c r="G23" s="102" t="e">
        <f>F23*$G$19/F19</f>
        <v>#DIV/0!</v>
      </c>
      <c r="H23" s="56" t="e">
        <f t="shared" ref="H23" si="5">F23*$H$8/$F$8</f>
        <v>#DIV/0!</v>
      </c>
    </row>
    <row r="24" spans="1:8" outlineLevel="1" x14ac:dyDescent="0.25">
      <c r="B24" t="s">
        <v>240</v>
      </c>
      <c r="C24" s="58" t="s">
        <v>104</v>
      </c>
      <c r="D24" s="7">
        <v>0</v>
      </c>
      <c r="E24" s="8">
        <v>0</v>
      </c>
      <c r="F24" s="5">
        <f>D24*E24</f>
        <v>0</v>
      </c>
      <c r="G24" s="102" t="e">
        <f>F24*G19/F19</f>
        <v>#DIV/0!</v>
      </c>
      <c r="H24" s="56" t="e">
        <f t="shared" ref="H24" si="6">F24*$H$8/$F$8</f>
        <v>#DIV/0!</v>
      </c>
    </row>
    <row r="25" spans="1:8" outlineLevel="1" x14ac:dyDescent="0.25">
      <c r="B25" t="s">
        <v>241</v>
      </c>
      <c r="C25" s="58" t="s">
        <v>104</v>
      </c>
      <c r="D25" s="7">
        <v>0</v>
      </c>
      <c r="E25" s="8">
        <v>0</v>
      </c>
      <c r="F25" s="5">
        <f>D25*E25</f>
        <v>0</v>
      </c>
      <c r="G25" s="102" t="e">
        <f>F25*G19/F19</f>
        <v>#DIV/0!</v>
      </c>
      <c r="H25" s="56" t="e">
        <f t="shared" ref="H25" si="7">F25*$H$8/$F$8</f>
        <v>#DIV/0!</v>
      </c>
    </row>
    <row r="26" spans="1:8" outlineLevel="1" x14ac:dyDescent="0.25">
      <c r="C26" s="58"/>
      <c r="D26" s="7"/>
      <c r="E26" s="8"/>
      <c r="F26" s="5"/>
      <c r="G26" s="102"/>
      <c r="H26" s="56"/>
    </row>
    <row r="27" spans="1:8" outlineLevel="1" x14ac:dyDescent="0.25">
      <c r="B27" t="s">
        <v>244</v>
      </c>
      <c r="C27" s="58" t="s">
        <v>110</v>
      </c>
      <c r="D27" s="7">
        <v>0</v>
      </c>
      <c r="E27" s="8">
        <v>0</v>
      </c>
      <c r="F27" s="5">
        <f>D27*E27</f>
        <v>0</v>
      </c>
      <c r="G27" s="102" t="e">
        <f>F27*$G$19/F19</f>
        <v>#DIV/0!</v>
      </c>
      <c r="H27" s="56" t="e">
        <f t="shared" ref="H27" si="8">F27*$H$8/$F$8</f>
        <v>#DIV/0!</v>
      </c>
    </row>
    <row r="28" spans="1:8" outlineLevel="1" x14ac:dyDescent="0.25">
      <c r="B28" t="s">
        <v>245</v>
      </c>
      <c r="C28" s="58" t="s">
        <v>110</v>
      </c>
      <c r="D28" s="7">
        <v>0</v>
      </c>
      <c r="E28" s="8">
        <v>0</v>
      </c>
      <c r="F28" s="5">
        <f>D28*E28</f>
        <v>0</v>
      </c>
      <c r="G28" s="102" t="e">
        <f>F28*$G$19/F19</f>
        <v>#DIV/0!</v>
      </c>
      <c r="H28" s="56" t="e">
        <f t="shared" ref="H28" si="9">F28*$H$8/$F$8</f>
        <v>#DIV/0!</v>
      </c>
    </row>
    <row r="29" spans="1:8" outlineLevel="1" x14ac:dyDescent="0.25">
      <c r="B29" t="s">
        <v>246</v>
      </c>
      <c r="C29" s="58" t="s">
        <v>110</v>
      </c>
      <c r="D29" s="7">
        <v>0</v>
      </c>
      <c r="E29" s="8">
        <v>0</v>
      </c>
      <c r="F29" s="5">
        <f>D29*E29</f>
        <v>0</v>
      </c>
      <c r="G29" s="102" t="e">
        <f>F29*$G$19/F19</f>
        <v>#DIV/0!</v>
      </c>
      <c r="H29" s="56" t="e">
        <f t="shared" ref="H29" si="10">F29*$H$8/$F$8</f>
        <v>#DIV/0!</v>
      </c>
    </row>
    <row r="30" spans="1:8" outlineLevel="1" x14ac:dyDescent="0.25">
      <c r="C30" s="58"/>
      <c r="D30" s="7"/>
      <c r="E30" s="8"/>
      <c r="F30" s="5"/>
      <c r="G30" s="102"/>
      <c r="H30" s="56"/>
    </row>
    <row r="31" spans="1:8" x14ac:dyDescent="0.25">
      <c r="A31" s="392" t="s">
        <v>105</v>
      </c>
      <c r="B31" s="392"/>
      <c r="C31" s="36"/>
      <c r="D31" s="167"/>
      <c r="E31" s="36"/>
      <c r="F31" s="269">
        <f>SUM(F32:F37)</f>
        <v>0</v>
      </c>
      <c r="G31" s="270">
        <v>1</v>
      </c>
      <c r="H31" s="119" t="e">
        <f t="shared" si="3"/>
        <v>#DIV/0!</v>
      </c>
    </row>
    <row r="32" spans="1:8" outlineLevel="1" x14ac:dyDescent="0.25">
      <c r="B32" t="s">
        <v>280</v>
      </c>
      <c r="C32" s="58" t="s">
        <v>104</v>
      </c>
      <c r="D32" s="7">
        <v>409</v>
      </c>
      <c r="E32" s="8">
        <v>0</v>
      </c>
      <c r="F32" s="5">
        <f>D32*E32</f>
        <v>0</v>
      </c>
      <c r="G32" s="102" t="e">
        <f>F32*G31/F31</f>
        <v>#DIV/0!</v>
      </c>
      <c r="H32" s="56" t="e">
        <f t="shared" si="3"/>
        <v>#DIV/0!</v>
      </c>
    </row>
    <row r="33" spans="1:11" outlineLevel="1" x14ac:dyDescent="0.25">
      <c r="B33" t="s">
        <v>247</v>
      </c>
      <c r="C33" s="58" t="s">
        <v>104</v>
      </c>
      <c r="D33" s="7">
        <v>0</v>
      </c>
      <c r="E33" s="8">
        <v>0</v>
      </c>
      <c r="F33" s="5">
        <f>D33*E33</f>
        <v>0</v>
      </c>
      <c r="G33" s="102" t="e">
        <f>F33*$G$31/F31</f>
        <v>#DIV/0!</v>
      </c>
      <c r="H33" s="56" t="e">
        <f t="shared" ref="H33:H34" si="11">F33*$H$8/$F$8</f>
        <v>#DIV/0!</v>
      </c>
    </row>
    <row r="34" spans="1:11" outlineLevel="1" x14ac:dyDescent="0.25">
      <c r="B34" t="s">
        <v>248</v>
      </c>
      <c r="C34" s="58" t="s">
        <v>104</v>
      </c>
      <c r="D34" s="7">
        <v>0</v>
      </c>
      <c r="E34" s="8">
        <v>0</v>
      </c>
      <c r="F34" s="5">
        <f>D34*E34</f>
        <v>0</v>
      </c>
      <c r="G34" s="102" t="e">
        <f>F34*$G$31/F31</f>
        <v>#DIV/0!</v>
      </c>
      <c r="H34" s="56" t="e">
        <f t="shared" si="11"/>
        <v>#DIV/0!</v>
      </c>
    </row>
    <row r="35" spans="1:11" outlineLevel="1" x14ac:dyDescent="0.25">
      <c r="C35" s="58"/>
      <c r="D35" s="7"/>
      <c r="E35" s="8"/>
      <c r="F35" s="5"/>
      <c r="G35" s="102"/>
      <c r="H35" s="56"/>
    </row>
    <row r="36" spans="1:11" outlineLevel="1" x14ac:dyDescent="0.25">
      <c r="B36" t="s">
        <v>249</v>
      </c>
      <c r="C36" s="58" t="s">
        <v>104</v>
      </c>
      <c r="D36" s="7">
        <v>0</v>
      </c>
      <c r="E36" s="8">
        <v>0</v>
      </c>
      <c r="F36" s="5">
        <f>D36*E36</f>
        <v>0</v>
      </c>
      <c r="G36" s="102" t="e">
        <f>F36*$G$31/F31</f>
        <v>#DIV/0!</v>
      </c>
      <c r="H36" s="56" t="e">
        <f t="shared" ref="H36" si="12">F36*$H$8/$F$8</f>
        <v>#DIV/0!</v>
      </c>
    </row>
    <row r="37" spans="1:11" outlineLevel="1" x14ac:dyDescent="0.25">
      <c r="C37" s="58"/>
      <c r="D37" s="7"/>
      <c r="E37" s="8"/>
      <c r="F37" s="5"/>
      <c r="G37" s="102"/>
      <c r="H37" s="56"/>
    </row>
    <row r="38" spans="1:11" x14ac:dyDescent="0.25">
      <c r="A38" s="390" t="s">
        <v>170</v>
      </c>
      <c r="B38" s="390"/>
      <c r="C38" s="14"/>
      <c r="D38" s="327"/>
      <c r="E38" s="14"/>
      <c r="F38" s="277">
        <f>SUM(F39:F41)</f>
        <v>0</v>
      </c>
      <c r="G38" s="278">
        <v>1</v>
      </c>
      <c r="H38" s="279" t="e">
        <f t="shared" si="3"/>
        <v>#DIV/0!</v>
      </c>
    </row>
    <row r="39" spans="1:11" outlineLevel="1" x14ac:dyDescent="0.25">
      <c r="B39" t="s">
        <v>173</v>
      </c>
      <c r="C39" s="58" t="s">
        <v>171</v>
      </c>
      <c r="D39" s="7">
        <v>50</v>
      </c>
      <c r="E39" s="8">
        <v>0</v>
      </c>
      <c r="F39" s="5">
        <f>D39*E39</f>
        <v>0</v>
      </c>
      <c r="G39" s="102" t="e">
        <f>F39*$G$38/F38</f>
        <v>#DIV/0!</v>
      </c>
      <c r="H39" s="56" t="e">
        <f t="shared" si="3"/>
        <v>#DIV/0!</v>
      </c>
    </row>
    <row r="40" spans="1:11" outlineLevel="1" x14ac:dyDescent="0.25">
      <c r="B40" t="s">
        <v>172</v>
      </c>
      <c r="C40" s="58" t="s">
        <v>171</v>
      </c>
      <c r="D40" s="7">
        <v>0</v>
      </c>
      <c r="E40" s="8">
        <v>0</v>
      </c>
      <c r="F40" s="5">
        <f>D40*E40</f>
        <v>0</v>
      </c>
      <c r="G40" s="102" t="e">
        <f>F40*$G$39/F39</f>
        <v>#DIV/0!</v>
      </c>
      <c r="H40" s="56" t="e">
        <f t="shared" si="3"/>
        <v>#DIV/0!</v>
      </c>
    </row>
    <row r="41" spans="1:11" outlineLevel="1" x14ac:dyDescent="0.25">
      <c r="C41" s="58"/>
      <c r="D41" s="7"/>
      <c r="E41" s="8"/>
      <c r="F41" s="5"/>
      <c r="G41" s="102"/>
      <c r="H41" s="56"/>
    </row>
    <row r="42" spans="1:11" outlineLevel="1" x14ac:dyDescent="0.25">
      <c r="C42" s="58"/>
      <c r="D42" s="7"/>
      <c r="E42" s="8"/>
      <c r="F42" s="5"/>
      <c r="G42" s="102"/>
      <c r="H42" s="56"/>
    </row>
    <row r="43" spans="1:11" x14ac:dyDescent="0.25">
      <c r="C43" s="58"/>
      <c r="D43" s="7"/>
      <c r="E43" s="7"/>
      <c r="F43" s="4"/>
      <c r="G43" s="93"/>
      <c r="H43" s="6"/>
    </row>
    <row r="44" spans="1:11" x14ac:dyDescent="0.25">
      <c r="C44" s="58"/>
      <c r="D44" s="7"/>
      <c r="E44" s="7"/>
      <c r="F44" s="4"/>
      <c r="G44" s="93"/>
      <c r="H44" s="6"/>
    </row>
    <row r="45" spans="1:11" x14ac:dyDescent="0.25">
      <c r="C45" s="58"/>
      <c r="D45" s="7"/>
      <c r="E45" s="7"/>
      <c r="F45" s="4"/>
      <c r="G45" s="93"/>
      <c r="H45" s="6"/>
    </row>
    <row r="46" spans="1:11" x14ac:dyDescent="0.25">
      <c r="C46" s="58"/>
      <c r="D46" s="7"/>
      <c r="E46" s="7"/>
      <c r="F46" s="4"/>
      <c r="G46" s="93"/>
      <c r="H46" s="6"/>
    </row>
    <row r="47" spans="1:11" x14ac:dyDescent="0.25">
      <c r="C47" s="58"/>
      <c r="D47" s="7"/>
      <c r="E47" s="7"/>
      <c r="F47" s="4"/>
      <c r="G47" s="93"/>
      <c r="H47" s="6"/>
      <c r="K47" s="373"/>
    </row>
    <row r="48" spans="1:11" x14ac:dyDescent="0.25">
      <c r="C48" s="58"/>
      <c r="D48" s="7"/>
      <c r="E48" s="7"/>
      <c r="F48" s="4"/>
      <c r="G48" s="93"/>
      <c r="H48" s="6"/>
    </row>
    <row r="49" spans="3:8" x14ac:dyDescent="0.25">
      <c r="C49" s="58"/>
      <c r="D49" s="7"/>
      <c r="E49" s="7"/>
      <c r="F49" s="4"/>
      <c r="G49" s="93"/>
      <c r="H49" s="6"/>
    </row>
    <row r="50" spans="3:8" x14ac:dyDescent="0.25">
      <c r="C50" s="58"/>
      <c r="D50" s="7"/>
      <c r="E50" s="7"/>
      <c r="F50" s="4"/>
      <c r="G50" s="93"/>
      <c r="H50" s="6"/>
    </row>
    <row r="51" spans="3:8" x14ac:dyDescent="0.25">
      <c r="C51" s="58"/>
      <c r="D51" s="7"/>
      <c r="E51" s="7"/>
      <c r="F51" s="4"/>
      <c r="G51" s="93"/>
      <c r="H51" s="6"/>
    </row>
    <row r="52" spans="3:8" x14ac:dyDescent="0.25">
      <c r="C52" s="58"/>
      <c r="D52" s="7"/>
      <c r="E52" s="7"/>
      <c r="F52" s="4"/>
      <c r="G52" s="93"/>
      <c r="H52" s="6"/>
    </row>
    <row r="53" spans="3:8" x14ac:dyDescent="0.25">
      <c r="C53" s="58"/>
      <c r="D53" s="7"/>
      <c r="E53" s="7"/>
      <c r="F53" s="4"/>
      <c r="G53" s="93"/>
      <c r="H53" s="6"/>
    </row>
    <row r="54" spans="3:8" x14ac:dyDescent="0.25">
      <c r="C54" s="58"/>
      <c r="D54" s="7"/>
      <c r="E54" s="7"/>
      <c r="F54" s="4"/>
      <c r="G54" s="93"/>
      <c r="H54" s="6"/>
    </row>
    <row r="55" spans="3:8" x14ac:dyDescent="0.25">
      <c r="C55" s="58"/>
      <c r="D55" s="7"/>
      <c r="E55" s="7"/>
      <c r="F55" s="4"/>
      <c r="G55" s="93"/>
      <c r="H55" s="6"/>
    </row>
  </sheetData>
  <mergeCells count="11">
    <mergeCell ref="A38:B38"/>
    <mergeCell ref="G5:H5"/>
    <mergeCell ref="A19:B19"/>
    <mergeCell ref="A31:B31"/>
    <mergeCell ref="G1:H1"/>
    <mergeCell ref="B1:D1"/>
    <mergeCell ref="G2:H2"/>
    <mergeCell ref="G3:H3"/>
    <mergeCell ref="G4:H4"/>
    <mergeCell ref="A14:B14"/>
    <mergeCell ref="A9:B9"/>
  </mergeCells>
  <pageMargins left="0.511811024" right="0.511811024" top="0.78740157499999996" bottom="0.78740157499999996" header="0.31496062000000002" footer="0.31496062000000002"/>
  <pageSetup paperSize="9" scale="82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zoomScale="145" zoomScaleNormal="145" workbookViewId="0">
      <selection activeCell="F11" sqref="F11"/>
    </sheetView>
  </sheetViews>
  <sheetFormatPr defaultRowHeight="12.75" x14ac:dyDescent="0.2"/>
  <cols>
    <col min="1" max="1" width="24.140625" style="177" customWidth="1"/>
    <col min="2" max="2" width="18.140625" style="177" customWidth="1"/>
    <col min="3" max="3" width="16.28515625" style="188" customWidth="1"/>
    <col min="4" max="4" width="17.42578125" style="179" customWidth="1"/>
    <col min="5" max="5" width="2.28515625" style="179" customWidth="1"/>
    <col min="6" max="6" width="20.85546875" style="177" customWidth="1"/>
    <col min="7" max="7" width="17.28515625" style="177" customWidth="1"/>
    <col min="8" max="8" width="8.140625" style="177" customWidth="1"/>
    <col min="9" max="9" width="12" style="177" customWidth="1"/>
    <col min="10" max="246" width="8.85546875" style="177"/>
    <col min="247" max="247" width="1.85546875" style="177" customWidth="1"/>
    <col min="248" max="248" width="5.28515625" style="177" customWidth="1"/>
    <col min="249" max="249" width="13.7109375" style="177" customWidth="1"/>
    <col min="250" max="250" width="19" style="177" customWidth="1"/>
    <col min="251" max="252" width="14.42578125" style="177" customWidth="1"/>
    <col min="253" max="253" width="5.28515625" style="177" customWidth="1"/>
    <col min="254" max="254" width="8.85546875" style="177"/>
    <col min="255" max="255" width="12" style="177" customWidth="1"/>
    <col min="256" max="257" width="8.85546875" style="177"/>
    <col min="258" max="258" width="11" style="177" customWidth="1"/>
    <col min="259" max="259" width="1.5703125" style="177" customWidth="1"/>
    <col min="260" max="502" width="8.85546875" style="177"/>
    <col min="503" max="503" width="1.85546875" style="177" customWidth="1"/>
    <col min="504" max="504" width="5.28515625" style="177" customWidth="1"/>
    <col min="505" max="505" width="13.7109375" style="177" customWidth="1"/>
    <col min="506" max="506" width="19" style="177" customWidth="1"/>
    <col min="507" max="508" width="14.42578125" style="177" customWidth="1"/>
    <col min="509" max="509" width="5.28515625" style="177" customWidth="1"/>
    <col min="510" max="510" width="8.85546875" style="177"/>
    <col min="511" max="511" width="12" style="177" customWidth="1"/>
    <col min="512" max="513" width="8.85546875" style="177"/>
    <col min="514" max="514" width="11" style="177" customWidth="1"/>
    <col min="515" max="515" width="1.5703125" style="177" customWidth="1"/>
    <col min="516" max="758" width="8.85546875" style="177"/>
    <col min="759" max="759" width="1.85546875" style="177" customWidth="1"/>
    <col min="760" max="760" width="5.28515625" style="177" customWidth="1"/>
    <col min="761" max="761" width="13.7109375" style="177" customWidth="1"/>
    <col min="762" max="762" width="19" style="177" customWidth="1"/>
    <col min="763" max="764" width="14.42578125" style="177" customWidth="1"/>
    <col min="765" max="765" width="5.28515625" style="177" customWidth="1"/>
    <col min="766" max="766" width="8.85546875" style="177"/>
    <col min="767" max="767" width="12" style="177" customWidth="1"/>
    <col min="768" max="769" width="8.85546875" style="177"/>
    <col min="770" max="770" width="11" style="177" customWidth="1"/>
    <col min="771" max="771" width="1.5703125" style="177" customWidth="1"/>
    <col min="772" max="1014" width="8.85546875" style="177"/>
    <col min="1015" max="1015" width="1.85546875" style="177" customWidth="1"/>
    <col min="1016" max="1016" width="5.28515625" style="177" customWidth="1"/>
    <col min="1017" max="1017" width="13.7109375" style="177" customWidth="1"/>
    <col min="1018" max="1018" width="19" style="177" customWidth="1"/>
    <col min="1019" max="1020" width="14.42578125" style="177" customWidth="1"/>
    <col min="1021" max="1021" width="5.28515625" style="177" customWidth="1"/>
    <col min="1022" max="1022" width="8.85546875" style="177"/>
    <col min="1023" max="1023" width="12" style="177" customWidth="1"/>
    <col min="1024" max="1025" width="8.85546875" style="177"/>
    <col min="1026" max="1026" width="11" style="177" customWidth="1"/>
    <col min="1027" max="1027" width="1.5703125" style="177" customWidth="1"/>
    <col min="1028" max="1270" width="8.85546875" style="177"/>
    <col min="1271" max="1271" width="1.85546875" style="177" customWidth="1"/>
    <col min="1272" max="1272" width="5.28515625" style="177" customWidth="1"/>
    <col min="1273" max="1273" width="13.7109375" style="177" customWidth="1"/>
    <col min="1274" max="1274" width="19" style="177" customWidth="1"/>
    <col min="1275" max="1276" width="14.42578125" style="177" customWidth="1"/>
    <col min="1277" max="1277" width="5.28515625" style="177" customWidth="1"/>
    <col min="1278" max="1278" width="8.85546875" style="177"/>
    <col min="1279" max="1279" width="12" style="177" customWidth="1"/>
    <col min="1280" max="1281" width="8.85546875" style="177"/>
    <col min="1282" max="1282" width="11" style="177" customWidth="1"/>
    <col min="1283" max="1283" width="1.5703125" style="177" customWidth="1"/>
    <col min="1284" max="1526" width="8.85546875" style="177"/>
    <col min="1527" max="1527" width="1.85546875" style="177" customWidth="1"/>
    <col min="1528" max="1528" width="5.28515625" style="177" customWidth="1"/>
    <col min="1529" max="1529" width="13.7109375" style="177" customWidth="1"/>
    <col min="1530" max="1530" width="19" style="177" customWidth="1"/>
    <col min="1531" max="1532" width="14.42578125" style="177" customWidth="1"/>
    <col min="1533" max="1533" width="5.28515625" style="177" customWidth="1"/>
    <col min="1534" max="1534" width="8.85546875" style="177"/>
    <col min="1535" max="1535" width="12" style="177" customWidth="1"/>
    <col min="1536" max="1537" width="8.85546875" style="177"/>
    <col min="1538" max="1538" width="11" style="177" customWidth="1"/>
    <col min="1539" max="1539" width="1.5703125" style="177" customWidth="1"/>
    <col min="1540" max="1782" width="8.85546875" style="177"/>
    <col min="1783" max="1783" width="1.85546875" style="177" customWidth="1"/>
    <col min="1784" max="1784" width="5.28515625" style="177" customWidth="1"/>
    <col min="1785" max="1785" width="13.7109375" style="177" customWidth="1"/>
    <col min="1786" max="1786" width="19" style="177" customWidth="1"/>
    <col min="1787" max="1788" width="14.42578125" style="177" customWidth="1"/>
    <col min="1789" max="1789" width="5.28515625" style="177" customWidth="1"/>
    <col min="1790" max="1790" width="8.85546875" style="177"/>
    <col min="1791" max="1791" width="12" style="177" customWidth="1"/>
    <col min="1792" max="1793" width="8.85546875" style="177"/>
    <col min="1794" max="1794" width="11" style="177" customWidth="1"/>
    <col min="1795" max="1795" width="1.5703125" style="177" customWidth="1"/>
    <col min="1796" max="2038" width="8.85546875" style="177"/>
    <col min="2039" max="2039" width="1.85546875" style="177" customWidth="1"/>
    <col min="2040" max="2040" width="5.28515625" style="177" customWidth="1"/>
    <col min="2041" max="2041" width="13.7109375" style="177" customWidth="1"/>
    <col min="2042" max="2042" width="19" style="177" customWidth="1"/>
    <col min="2043" max="2044" width="14.42578125" style="177" customWidth="1"/>
    <col min="2045" max="2045" width="5.28515625" style="177" customWidth="1"/>
    <col min="2046" max="2046" width="8.85546875" style="177"/>
    <col min="2047" max="2047" width="12" style="177" customWidth="1"/>
    <col min="2048" max="2049" width="8.85546875" style="177"/>
    <col min="2050" max="2050" width="11" style="177" customWidth="1"/>
    <col min="2051" max="2051" width="1.5703125" style="177" customWidth="1"/>
    <col min="2052" max="2294" width="8.85546875" style="177"/>
    <col min="2295" max="2295" width="1.85546875" style="177" customWidth="1"/>
    <col min="2296" max="2296" width="5.28515625" style="177" customWidth="1"/>
    <col min="2297" max="2297" width="13.7109375" style="177" customWidth="1"/>
    <col min="2298" max="2298" width="19" style="177" customWidth="1"/>
    <col min="2299" max="2300" width="14.42578125" style="177" customWidth="1"/>
    <col min="2301" max="2301" width="5.28515625" style="177" customWidth="1"/>
    <col min="2302" max="2302" width="8.85546875" style="177"/>
    <col min="2303" max="2303" width="12" style="177" customWidth="1"/>
    <col min="2304" max="2305" width="8.85546875" style="177"/>
    <col min="2306" max="2306" width="11" style="177" customWidth="1"/>
    <col min="2307" max="2307" width="1.5703125" style="177" customWidth="1"/>
    <col min="2308" max="2550" width="8.85546875" style="177"/>
    <col min="2551" max="2551" width="1.85546875" style="177" customWidth="1"/>
    <col min="2552" max="2552" width="5.28515625" style="177" customWidth="1"/>
    <col min="2553" max="2553" width="13.7109375" style="177" customWidth="1"/>
    <col min="2554" max="2554" width="19" style="177" customWidth="1"/>
    <col min="2555" max="2556" width="14.42578125" style="177" customWidth="1"/>
    <col min="2557" max="2557" width="5.28515625" style="177" customWidth="1"/>
    <col min="2558" max="2558" width="8.85546875" style="177"/>
    <col min="2559" max="2559" width="12" style="177" customWidth="1"/>
    <col min="2560" max="2561" width="8.85546875" style="177"/>
    <col min="2562" max="2562" width="11" style="177" customWidth="1"/>
    <col min="2563" max="2563" width="1.5703125" style="177" customWidth="1"/>
    <col min="2564" max="2806" width="8.85546875" style="177"/>
    <col min="2807" max="2807" width="1.85546875" style="177" customWidth="1"/>
    <col min="2808" max="2808" width="5.28515625" style="177" customWidth="1"/>
    <col min="2809" max="2809" width="13.7109375" style="177" customWidth="1"/>
    <col min="2810" max="2810" width="19" style="177" customWidth="1"/>
    <col min="2811" max="2812" width="14.42578125" style="177" customWidth="1"/>
    <col min="2813" max="2813" width="5.28515625" style="177" customWidth="1"/>
    <col min="2814" max="2814" width="8.85546875" style="177"/>
    <col min="2815" max="2815" width="12" style="177" customWidth="1"/>
    <col min="2816" max="2817" width="8.85546875" style="177"/>
    <col min="2818" max="2818" width="11" style="177" customWidth="1"/>
    <col min="2819" max="2819" width="1.5703125" style="177" customWidth="1"/>
    <col min="2820" max="3062" width="8.85546875" style="177"/>
    <col min="3063" max="3063" width="1.85546875" style="177" customWidth="1"/>
    <col min="3064" max="3064" width="5.28515625" style="177" customWidth="1"/>
    <col min="3065" max="3065" width="13.7109375" style="177" customWidth="1"/>
    <col min="3066" max="3066" width="19" style="177" customWidth="1"/>
    <col min="3067" max="3068" width="14.42578125" style="177" customWidth="1"/>
    <col min="3069" max="3069" width="5.28515625" style="177" customWidth="1"/>
    <col min="3070" max="3070" width="8.85546875" style="177"/>
    <col min="3071" max="3071" width="12" style="177" customWidth="1"/>
    <col min="3072" max="3073" width="8.85546875" style="177"/>
    <col min="3074" max="3074" width="11" style="177" customWidth="1"/>
    <col min="3075" max="3075" width="1.5703125" style="177" customWidth="1"/>
    <col min="3076" max="3318" width="8.85546875" style="177"/>
    <col min="3319" max="3319" width="1.85546875" style="177" customWidth="1"/>
    <col min="3320" max="3320" width="5.28515625" style="177" customWidth="1"/>
    <col min="3321" max="3321" width="13.7109375" style="177" customWidth="1"/>
    <col min="3322" max="3322" width="19" style="177" customWidth="1"/>
    <col min="3323" max="3324" width="14.42578125" style="177" customWidth="1"/>
    <col min="3325" max="3325" width="5.28515625" style="177" customWidth="1"/>
    <col min="3326" max="3326" width="8.85546875" style="177"/>
    <col min="3327" max="3327" width="12" style="177" customWidth="1"/>
    <col min="3328" max="3329" width="8.85546875" style="177"/>
    <col min="3330" max="3330" width="11" style="177" customWidth="1"/>
    <col min="3331" max="3331" width="1.5703125" style="177" customWidth="1"/>
    <col min="3332" max="3574" width="8.85546875" style="177"/>
    <col min="3575" max="3575" width="1.85546875" style="177" customWidth="1"/>
    <col min="3576" max="3576" width="5.28515625" style="177" customWidth="1"/>
    <col min="3577" max="3577" width="13.7109375" style="177" customWidth="1"/>
    <col min="3578" max="3578" width="19" style="177" customWidth="1"/>
    <col min="3579" max="3580" width="14.42578125" style="177" customWidth="1"/>
    <col min="3581" max="3581" width="5.28515625" style="177" customWidth="1"/>
    <col min="3582" max="3582" width="8.85546875" style="177"/>
    <col min="3583" max="3583" width="12" style="177" customWidth="1"/>
    <col min="3584" max="3585" width="8.85546875" style="177"/>
    <col min="3586" max="3586" width="11" style="177" customWidth="1"/>
    <col min="3587" max="3587" width="1.5703125" style="177" customWidth="1"/>
    <col min="3588" max="3830" width="8.85546875" style="177"/>
    <col min="3831" max="3831" width="1.85546875" style="177" customWidth="1"/>
    <col min="3832" max="3832" width="5.28515625" style="177" customWidth="1"/>
    <col min="3833" max="3833" width="13.7109375" style="177" customWidth="1"/>
    <col min="3834" max="3834" width="19" style="177" customWidth="1"/>
    <col min="3835" max="3836" width="14.42578125" style="177" customWidth="1"/>
    <col min="3837" max="3837" width="5.28515625" style="177" customWidth="1"/>
    <col min="3838" max="3838" width="8.85546875" style="177"/>
    <col min="3839" max="3839" width="12" style="177" customWidth="1"/>
    <col min="3840" max="3841" width="8.85546875" style="177"/>
    <col min="3842" max="3842" width="11" style="177" customWidth="1"/>
    <col min="3843" max="3843" width="1.5703125" style="177" customWidth="1"/>
    <col min="3844" max="4086" width="8.85546875" style="177"/>
    <col min="4087" max="4087" width="1.85546875" style="177" customWidth="1"/>
    <col min="4088" max="4088" width="5.28515625" style="177" customWidth="1"/>
    <col min="4089" max="4089" width="13.7109375" style="177" customWidth="1"/>
    <col min="4090" max="4090" width="19" style="177" customWidth="1"/>
    <col min="4091" max="4092" width="14.42578125" style="177" customWidth="1"/>
    <col min="4093" max="4093" width="5.28515625" style="177" customWidth="1"/>
    <col min="4094" max="4094" width="8.85546875" style="177"/>
    <col min="4095" max="4095" width="12" style="177" customWidth="1"/>
    <col min="4096" max="4097" width="8.85546875" style="177"/>
    <col min="4098" max="4098" width="11" style="177" customWidth="1"/>
    <col min="4099" max="4099" width="1.5703125" style="177" customWidth="1"/>
    <col min="4100" max="4342" width="8.85546875" style="177"/>
    <col min="4343" max="4343" width="1.85546875" style="177" customWidth="1"/>
    <col min="4344" max="4344" width="5.28515625" style="177" customWidth="1"/>
    <col min="4345" max="4345" width="13.7109375" style="177" customWidth="1"/>
    <col min="4346" max="4346" width="19" style="177" customWidth="1"/>
    <col min="4347" max="4348" width="14.42578125" style="177" customWidth="1"/>
    <col min="4349" max="4349" width="5.28515625" style="177" customWidth="1"/>
    <col min="4350" max="4350" width="8.85546875" style="177"/>
    <col min="4351" max="4351" width="12" style="177" customWidth="1"/>
    <col min="4352" max="4353" width="8.85546875" style="177"/>
    <col min="4354" max="4354" width="11" style="177" customWidth="1"/>
    <col min="4355" max="4355" width="1.5703125" style="177" customWidth="1"/>
    <col min="4356" max="4598" width="8.85546875" style="177"/>
    <col min="4599" max="4599" width="1.85546875" style="177" customWidth="1"/>
    <col min="4600" max="4600" width="5.28515625" style="177" customWidth="1"/>
    <col min="4601" max="4601" width="13.7109375" style="177" customWidth="1"/>
    <col min="4602" max="4602" width="19" style="177" customWidth="1"/>
    <col min="4603" max="4604" width="14.42578125" style="177" customWidth="1"/>
    <col min="4605" max="4605" width="5.28515625" style="177" customWidth="1"/>
    <col min="4606" max="4606" width="8.85546875" style="177"/>
    <col min="4607" max="4607" width="12" style="177" customWidth="1"/>
    <col min="4608" max="4609" width="8.85546875" style="177"/>
    <col min="4610" max="4610" width="11" style="177" customWidth="1"/>
    <col min="4611" max="4611" width="1.5703125" style="177" customWidth="1"/>
    <col min="4612" max="4854" width="8.85546875" style="177"/>
    <col min="4855" max="4855" width="1.85546875" style="177" customWidth="1"/>
    <col min="4856" max="4856" width="5.28515625" style="177" customWidth="1"/>
    <col min="4857" max="4857" width="13.7109375" style="177" customWidth="1"/>
    <col min="4858" max="4858" width="19" style="177" customWidth="1"/>
    <col min="4859" max="4860" width="14.42578125" style="177" customWidth="1"/>
    <col min="4861" max="4861" width="5.28515625" style="177" customWidth="1"/>
    <col min="4862" max="4862" width="8.85546875" style="177"/>
    <col min="4863" max="4863" width="12" style="177" customWidth="1"/>
    <col min="4864" max="4865" width="8.85546875" style="177"/>
    <col min="4866" max="4866" width="11" style="177" customWidth="1"/>
    <col min="4867" max="4867" width="1.5703125" style="177" customWidth="1"/>
    <col min="4868" max="5110" width="8.85546875" style="177"/>
    <col min="5111" max="5111" width="1.85546875" style="177" customWidth="1"/>
    <col min="5112" max="5112" width="5.28515625" style="177" customWidth="1"/>
    <col min="5113" max="5113" width="13.7109375" style="177" customWidth="1"/>
    <col min="5114" max="5114" width="19" style="177" customWidth="1"/>
    <col min="5115" max="5116" width="14.42578125" style="177" customWidth="1"/>
    <col min="5117" max="5117" width="5.28515625" style="177" customWidth="1"/>
    <col min="5118" max="5118" width="8.85546875" style="177"/>
    <col min="5119" max="5119" width="12" style="177" customWidth="1"/>
    <col min="5120" max="5121" width="8.85546875" style="177"/>
    <col min="5122" max="5122" width="11" style="177" customWidth="1"/>
    <col min="5123" max="5123" width="1.5703125" style="177" customWidth="1"/>
    <col min="5124" max="5366" width="8.85546875" style="177"/>
    <col min="5367" max="5367" width="1.85546875" style="177" customWidth="1"/>
    <col min="5368" max="5368" width="5.28515625" style="177" customWidth="1"/>
    <col min="5369" max="5369" width="13.7109375" style="177" customWidth="1"/>
    <col min="5370" max="5370" width="19" style="177" customWidth="1"/>
    <col min="5371" max="5372" width="14.42578125" style="177" customWidth="1"/>
    <col min="5373" max="5373" width="5.28515625" style="177" customWidth="1"/>
    <col min="5374" max="5374" width="8.85546875" style="177"/>
    <col min="5375" max="5375" width="12" style="177" customWidth="1"/>
    <col min="5376" max="5377" width="8.85546875" style="177"/>
    <col min="5378" max="5378" width="11" style="177" customWidth="1"/>
    <col min="5379" max="5379" width="1.5703125" style="177" customWidth="1"/>
    <col min="5380" max="5622" width="8.85546875" style="177"/>
    <col min="5623" max="5623" width="1.85546875" style="177" customWidth="1"/>
    <col min="5624" max="5624" width="5.28515625" style="177" customWidth="1"/>
    <col min="5625" max="5625" width="13.7109375" style="177" customWidth="1"/>
    <col min="5626" max="5626" width="19" style="177" customWidth="1"/>
    <col min="5627" max="5628" width="14.42578125" style="177" customWidth="1"/>
    <col min="5629" max="5629" width="5.28515625" style="177" customWidth="1"/>
    <col min="5630" max="5630" width="8.85546875" style="177"/>
    <col min="5631" max="5631" width="12" style="177" customWidth="1"/>
    <col min="5632" max="5633" width="8.85546875" style="177"/>
    <col min="5634" max="5634" width="11" style="177" customWidth="1"/>
    <col min="5635" max="5635" width="1.5703125" style="177" customWidth="1"/>
    <col min="5636" max="5878" width="8.85546875" style="177"/>
    <col min="5879" max="5879" width="1.85546875" style="177" customWidth="1"/>
    <col min="5880" max="5880" width="5.28515625" style="177" customWidth="1"/>
    <col min="5881" max="5881" width="13.7109375" style="177" customWidth="1"/>
    <col min="5882" max="5882" width="19" style="177" customWidth="1"/>
    <col min="5883" max="5884" width="14.42578125" style="177" customWidth="1"/>
    <col min="5885" max="5885" width="5.28515625" style="177" customWidth="1"/>
    <col min="5886" max="5886" width="8.85546875" style="177"/>
    <col min="5887" max="5887" width="12" style="177" customWidth="1"/>
    <col min="5888" max="5889" width="8.85546875" style="177"/>
    <col min="5890" max="5890" width="11" style="177" customWidth="1"/>
    <col min="5891" max="5891" width="1.5703125" style="177" customWidth="1"/>
    <col min="5892" max="6134" width="8.85546875" style="177"/>
    <col min="6135" max="6135" width="1.85546875" style="177" customWidth="1"/>
    <col min="6136" max="6136" width="5.28515625" style="177" customWidth="1"/>
    <col min="6137" max="6137" width="13.7109375" style="177" customWidth="1"/>
    <col min="6138" max="6138" width="19" style="177" customWidth="1"/>
    <col min="6139" max="6140" width="14.42578125" style="177" customWidth="1"/>
    <col min="6141" max="6141" width="5.28515625" style="177" customWidth="1"/>
    <col min="6142" max="6142" width="8.85546875" style="177"/>
    <col min="6143" max="6143" width="12" style="177" customWidth="1"/>
    <col min="6144" max="6145" width="8.85546875" style="177"/>
    <col min="6146" max="6146" width="11" style="177" customWidth="1"/>
    <col min="6147" max="6147" width="1.5703125" style="177" customWidth="1"/>
    <col min="6148" max="6390" width="8.85546875" style="177"/>
    <col min="6391" max="6391" width="1.85546875" style="177" customWidth="1"/>
    <col min="6392" max="6392" width="5.28515625" style="177" customWidth="1"/>
    <col min="6393" max="6393" width="13.7109375" style="177" customWidth="1"/>
    <col min="6394" max="6394" width="19" style="177" customWidth="1"/>
    <col min="6395" max="6396" width="14.42578125" style="177" customWidth="1"/>
    <col min="6397" max="6397" width="5.28515625" style="177" customWidth="1"/>
    <col min="6398" max="6398" width="8.85546875" style="177"/>
    <col min="6399" max="6399" width="12" style="177" customWidth="1"/>
    <col min="6400" max="6401" width="8.85546875" style="177"/>
    <col min="6402" max="6402" width="11" style="177" customWidth="1"/>
    <col min="6403" max="6403" width="1.5703125" style="177" customWidth="1"/>
    <col min="6404" max="6646" width="8.85546875" style="177"/>
    <col min="6647" max="6647" width="1.85546875" style="177" customWidth="1"/>
    <col min="6648" max="6648" width="5.28515625" style="177" customWidth="1"/>
    <col min="6649" max="6649" width="13.7109375" style="177" customWidth="1"/>
    <col min="6650" max="6650" width="19" style="177" customWidth="1"/>
    <col min="6651" max="6652" width="14.42578125" style="177" customWidth="1"/>
    <col min="6653" max="6653" width="5.28515625" style="177" customWidth="1"/>
    <col min="6654" max="6654" width="8.85546875" style="177"/>
    <col min="6655" max="6655" width="12" style="177" customWidth="1"/>
    <col min="6656" max="6657" width="8.85546875" style="177"/>
    <col min="6658" max="6658" width="11" style="177" customWidth="1"/>
    <col min="6659" max="6659" width="1.5703125" style="177" customWidth="1"/>
    <col min="6660" max="6902" width="8.85546875" style="177"/>
    <col min="6903" max="6903" width="1.85546875" style="177" customWidth="1"/>
    <col min="6904" max="6904" width="5.28515625" style="177" customWidth="1"/>
    <col min="6905" max="6905" width="13.7109375" style="177" customWidth="1"/>
    <col min="6906" max="6906" width="19" style="177" customWidth="1"/>
    <col min="6907" max="6908" width="14.42578125" style="177" customWidth="1"/>
    <col min="6909" max="6909" width="5.28515625" style="177" customWidth="1"/>
    <col min="6910" max="6910" width="8.85546875" style="177"/>
    <col min="6911" max="6911" width="12" style="177" customWidth="1"/>
    <col min="6912" max="6913" width="8.85546875" style="177"/>
    <col min="6914" max="6914" width="11" style="177" customWidth="1"/>
    <col min="6915" max="6915" width="1.5703125" style="177" customWidth="1"/>
    <col min="6916" max="7158" width="8.85546875" style="177"/>
    <col min="7159" max="7159" width="1.85546875" style="177" customWidth="1"/>
    <col min="7160" max="7160" width="5.28515625" style="177" customWidth="1"/>
    <col min="7161" max="7161" width="13.7109375" style="177" customWidth="1"/>
    <col min="7162" max="7162" width="19" style="177" customWidth="1"/>
    <col min="7163" max="7164" width="14.42578125" style="177" customWidth="1"/>
    <col min="7165" max="7165" width="5.28515625" style="177" customWidth="1"/>
    <col min="7166" max="7166" width="8.85546875" style="177"/>
    <col min="7167" max="7167" width="12" style="177" customWidth="1"/>
    <col min="7168" max="7169" width="8.85546875" style="177"/>
    <col min="7170" max="7170" width="11" style="177" customWidth="1"/>
    <col min="7171" max="7171" width="1.5703125" style="177" customWidth="1"/>
    <col min="7172" max="7414" width="8.85546875" style="177"/>
    <col min="7415" max="7415" width="1.85546875" style="177" customWidth="1"/>
    <col min="7416" max="7416" width="5.28515625" style="177" customWidth="1"/>
    <col min="7417" max="7417" width="13.7109375" style="177" customWidth="1"/>
    <col min="7418" max="7418" width="19" style="177" customWidth="1"/>
    <col min="7419" max="7420" width="14.42578125" style="177" customWidth="1"/>
    <col min="7421" max="7421" width="5.28515625" style="177" customWidth="1"/>
    <col min="7422" max="7422" width="8.85546875" style="177"/>
    <col min="7423" max="7423" width="12" style="177" customWidth="1"/>
    <col min="7424" max="7425" width="8.85546875" style="177"/>
    <col min="7426" max="7426" width="11" style="177" customWidth="1"/>
    <col min="7427" max="7427" width="1.5703125" style="177" customWidth="1"/>
    <col min="7428" max="7670" width="8.85546875" style="177"/>
    <col min="7671" max="7671" width="1.85546875" style="177" customWidth="1"/>
    <col min="7672" max="7672" width="5.28515625" style="177" customWidth="1"/>
    <col min="7673" max="7673" width="13.7109375" style="177" customWidth="1"/>
    <col min="7674" max="7674" width="19" style="177" customWidth="1"/>
    <col min="7675" max="7676" width="14.42578125" style="177" customWidth="1"/>
    <col min="7677" max="7677" width="5.28515625" style="177" customWidth="1"/>
    <col min="7678" max="7678" width="8.85546875" style="177"/>
    <col min="7679" max="7679" width="12" style="177" customWidth="1"/>
    <col min="7680" max="7681" width="8.85546875" style="177"/>
    <col min="7682" max="7682" width="11" style="177" customWidth="1"/>
    <col min="7683" max="7683" width="1.5703125" style="177" customWidth="1"/>
    <col min="7684" max="7926" width="8.85546875" style="177"/>
    <col min="7927" max="7927" width="1.85546875" style="177" customWidth="1"/>
    <col min="7928" max="7928" width="5.28515625" style="177" customWidth="1"/>
    <col min="7929" max="7929" width="13.7109375" style="177" customWidth="1"/>
    <col min="7930" max="7930" width="19" style="177" customWidth="1"/>
    <col min="7931" max="7932" width="14.42578125" style="177" customWidth="1"/>
    <col min="7933" max="7933" width="5.28515625" style="177" customWidth="1"/>
    <col min="7934" max="7934" width="8.85546875" style="177"/>
    <col min="7935" max="7935" width="12" style="177" customWidth="1"/>
    <col min="7936" max="7937" width="8.85546875" style="177"/>
    <col min="7938" max="7938" width="11" style="177" customWidth="1"/>
    <col min="7939" max="7939" width="1.5703125" style="177" customWidth="1"/>
    <col min="7940" max="8182" width="8.85546875" style="177"/>
    <col min="8183" max="8183" width="1.85546875" style="177" customWidth="1"/>
    <col min="8184" max="8184" width="5.28515625" style="177" customWidth="1"/>
    <col min="8185" max="8185" width="13.7109375" style="177" customWidth="1"/>
    <col min="8186" max="8186" width="19" style="177" customWidth="1"/>
    <col min="8187" max="8188" width="14.42578125" style="177" customWidth="1"/>
    <col min="8189" max="8189" width="5.28515625" style="177" customWidth="1"/>
    <col min="8190" max="8190" width="8.85546875" style="177"/>
    <col min="8191" max="8191" width="12" style="177" customWidth="1"/>
    <col min="8192" max="8193" width="8.85546875" style="177"/>
    <col min="8194" max="8194" width="11" style="177" customWidth="1"/>
    <col min="8195" max="8195" width="1.5703125" style="177" customWidth="1"/>
    <col min="8196" max="8438" width="8.85546875" style="177"/>
    <col min="8439" max="8439" width="1.85546875" style="177" customWidth="1"/>
    <col min="8440" max="8440" width="5.28515625" style="177" customWidth="1"/>
    <col min="8441" max="8441" width="13.7109375" style="177" customWidth="1"/>
    <col min="8442" max="8442" width="19" style="177" customWidth="1"/>
    <col min="8443" max="8444" width="14.42578125" style="177" customWidth="1"/>
    <col min="8445" max="8445" width="5.28515625" style="177" customWidth="1"/>
    <col min="8446" max="8446" width="8.85546875" style="177"/>
    <col min="8447" max="8447" width="12" style="177" customWidth="1"/>
    <col min="8448" max="8449" width="8.85546875" style="177"/>
    <col min="8450" max="8450" width="11" style="177" customWidth="1"/>
    <col min="8451" max="8451" width="1.5703125" style="177" customWidth="1"/>
    <col min="8452" max="8694" width="8.85546875" style="177"/>
    <col min="8695" max="8695" width="1.85546875" style="177" customWidth="1"/>
    <col min="8696" max="8696" width="5.28515625" style="177" customWidth="1"/>
    <col min="8697" max="8697" width="13.7109375" style="177" customWidth="1"/>
    <col min="8698" max="8698" width="19" style="177" customWidth="1"/>
    <col min="8699" max="8700" width="14.42578125" style="177" customWidth="1"/>
    <col min="8701" max="8701" width="5.28515625" style="177" customWidth="1"/>
    <col min="8702" max="8702" width="8.85546875" style="177"/>
    <col min="8703" max="8703" width="12" style="177" customWidth="1"/>
    <col min="8704" max="8705" width="8.85546875" style="177"/>
    <col min="8706" max="8706" width="11" style="177" customWidth="1"/>
    <col min="8707" max="8707" width="1.5703125" style="177" customWidth="1"/>
    <col min="8708" max="8950" width="8.85546875" style="177"/>
    <col min="8951" max="8951" width="1.85546875" style="177" customWidth="1"/>
    <col min="8952" max="8952" width="5.28515625" style="177" customWidth="1"/>
    <col min="8953" max="8953" width="13.7109375" style="177" customWidth="1"/>
    <col min="8954" max="8954" width="19" style="177" customWidth="1"/>
    <col min="8955" max="8956" width="14.42578125" style="177" customWidth="1"/>
    <col min="8957" max="8957" width="5.28515625" style="177" customWidth="1"/>
    <col min="8958" max="8958" width="8.85546875" style="177"/>
    <col min="8959" max="8959" width="12" style="177" customWidth="1"/>
    <col min="8960" max="8961" width="8.85546875" style="177"/>
    <col min="8962" max="8962" width="11" style="177" customWidth="1"/>
    <col min="8963" max="8963" width="1.5703125" style="177" customWidth="1"/>
    <col min="8964" max="9206" width="8.85546875" style="177"/>
    <col min="9207" max="9207" width="1.85546875" style="177" customWidth="1"/>
    <col min="9208" max="9208" width="5.28515625" style="177" customWidth="1"/>
    <col min="9209" max="9209" width="13.7109375" style="177" customWidth="1"/>
    <col min="9210" max="9210" width="19" style="177" customWidth="1"/>
    <col min="9211" max="9212" width="14.42578125" style="177" customWidth="1"/>
    <col min="9213" max="9213" width="5.28515625" style="177" customWidth="1"/>
    <col min="9214" max="9214" width="8.85546875" style="177"/>
    <col min="9215" max="9215" width="12" style="177" customWidth="1"/>
    <col min="9216" max="9217" width="8.85546875" style="177"/>
    <col min="9218" max="9218" width="11" style="177" customWidth="1"/>
    <col min="9219" max="9219" width="1.5703125" style="177" customWidth="1"/>
    <col min="9220" max="9462" width="8.85546875" style="177"/>
    <col min="9463" max="9463" width="1.85546875" style="177" customWidth="1"/>
    <col min="9464" max="9464" width="5.28515625" style="177" customWidth="1"/>
    <col min="9465" max="9465" width="13.7109375" style="177" customWidth="1"/>
    <col min="9466" max="9466" width="19" style="177" customWidth="1"/>
    <col min="9467" max="9468" width="14.42578125" style="177" customWidth="1"/>
    <col min="9469" max="9469" width="5.28515625" style="177" customWidth="1"/>
    <col min="9470" max="9470" width="8.85546875" style="177"/>
    <col min="9471" max="9471" width="12" style="177" customWidth="1"/>
    <col min="9472" max="9473" width="8.85546875" style="177"/>
    <col min="9474" max="9474" width="11" style="177" customWidth="1"/>
    <col min="9475" max="9475" width="1.5703125" style="177" customWidth="1"/>
    <col min="9476" max="9718" width="8.85546875" style="177"/>
    <col min="9719" max="9719" width="1.85546875" style="177" customWidth="1"/>
    <col min="9720" max="9720" width="5.28515625" style="177" customWidth="1"/>
    <col min="9721" max="9721" width="13.7109375" style="177" customWidth="1"/>
    <col min="9722" max="9722" width="19" style="177" customWidth="1"/>
    <col min="9723" max="9724" width="14.42578125" style="177" customWidth="1"/>
    <col min="9725" max="9725" width="5.28515625" style="177" customWidth="1"/>
    <col min="9726" max="9726" width="8.85546875" style="177"/>
    <col min="9727" max="9727" width="12" style="177" customWidth="1"/>
    <col min="9728" max="9729" width="8.85546875" style="177"/>
    <col min="9730" max="9730" width="11" style="177" customWidth="1"/>
    <col min="9731" max="9731" width="1.5703125" style="177" customWidth="1"/>
    <col min="9732" max="9974" width="8.85546875" style="177"/>
    <col min="9975" max="9975" width="1.85546875" style="177" customWidth="1"/>
    <col min="9976" max="9976" width="5.28515625" style="177" customWidth="1"/>
    <col min="9977" max="9977" width="13.7109375" style="177" customWidth="1"/>
    <col min="9978" max="9978" width="19" style="177" customWidth="1"/>
    <col min="9979" max="9980" width="14.42578125" style="177" customWidth="1"/>
    <col min="9981" max="9981" width="5.28515625" style="177" customWidth="1"/>
    <col min="9982" max="9982" width="8.85546875" style="177"/>
    <col min="9983" max="9983" width="12" style="177" customWidth="1"/>
    <col min="9984" max="9985" width="8.85546875" style="177"/>
    <col min="9986" max="9986" width="11" style="177" customWidth="1"/>
    <col min="9987" max="9987" width="1.5703125" style="177" customWidth="1"/>
    <col min="9988" max="10230" width="8.85546875" style="177"/>
    <col min="10231" max="10231" width="1.85546875" style="177" customWidth="1"/>
    <col min="10232" max="10232" width="5.28515625" style="177" customWidth="1"/>
    <col min="10233" max="10233" width="13.7109375" style="177" customWidth="1"/>
    <col min="10234" max="10234" width="19" style="177" customWidth="1"/>
    <col min="10235" max="10236" width="14.42578125" style="177" customWidth="1"/>
    <col min="10237" max="10237" width="5.28515625" style="177" customWidth="1"/>
    <col min="10238" max="10238" width="8.85546875" style="177"/>
    <col min="10239" max="10239" width="12" style="177" customWidth="1"/>
    <col min="10240" max="10241" width="8.85546875" style="177"/>
    <col min="10242" max="10242" width="11" style="177" customWidth="1"/>
    <col min="10243" max="10243" width="1.5703125" style="177" customWidth="1"/>
    <col min="10244" max="10486" width="8.85546875" style="177"/>
    <col min="10487" max="10487" width="1.85546875" style="177" customWidth="1"/>
    <col min="10488" max="10488" width="5.28515625" style="177" customWidth="1"/>
    <col min="10489" max="10489" width="13.7109375" style="177" customWidth="1"/>
    <col min="10490" max="10490" width="19" style="177" customWidth="1"/>
    <col min="10491" max="10492" width="14.42578125" style="177" customWidth="1"/>
    <col min="10493" max="10493" width="5.28515625" style="177" customWidth="1"/>
    <col min="10494" max="10494" width="8.85546875" style="177"/>
    <col min="10495" max="10495" width="12" style="177" customWidth="1"/>
    <col min="10496" max="10497" width="8.85546875" style="177"/>
    <col min="10498" max="10498" width="11" style="177" customWidth="1"/>
    <col min="10499" max="10499" width="1.5703125" style="177" customWidth="1"/>
    <col min="10500" max="10742" width="8.85546875" style="177"/>
    <col min="10743" max="10743" width="1.85546875" style="177" customWidth="1"/>
    <col min="10744" max="10744" width="5.28515625" style="177" customWidth="1"/>
    <col min="10745" max="10745" width="13.7109375" style="177" customWidth="1"/>
    <col min="10746" max="10746" width="19" style="177" customWidth="1"/>
    <col min="10747" max="10748" width="14.42578125" style="177" customWidth="1"/>
    <col min="10749" max="10749" width="5.28515625" style="177" customWidth="1"/>
    <col min="10750" max="10750" width="8.85546875" style="177"/>
    <col min="10751" max="10751" width="12" style="177" customWidth="1"/>
    <col min="10752" max="10753" width="8.85546875" style="177"/>
    <col min="10754" max="10754" width="11" style="177" customWidth="1"/>
    <col min="10755" max="10755" width="1.5703125" style="177" customWidth="1"/>
    <col min="10756" max="10998" width="8.85546875" style="177"/>
    <col min="10999" max="10999" width="1.85546875" style="177" customWidth="1"/>
    <col min="11000" max="11000" width="5.28515625" style="177" customWidth="1"/>
    <col min="11001" max="11001" width="13.7109375" style="177" customWidth="1"/>
    <col min="11002" max="11002" width="19" style="177" customWidth="1"/>
    <col min="11003" max="11004" width="14.42578125" style="177" customWidth="1"/>
    <col min="11005" max="11005" width="5.28515625" style="177" customWidth="1"/>
    <col min="11006" max="11006" width="8.85546875" style="177"/>
    <col min="11007" max="11007" width="12" style="177" customWidth="1"/>
    <col min="11008" max="11009" width="8.85546875" style="177"/>
    <col min="11010" max="11010" width="11" style="177" customWidth="1"/>
    <col min="11011" max="11011" width="1.5703125" style="177" customWidth="1"/>
    <col min="11012" max="11254" width="8.85546875" style="177"/>
    <col min="11255" max="11255" width="1.85546875" style="177" customWidth="1"/>
    <col min="11256" max="11256" width="5.28515625" style="177" customWidth="1"/>
    <col min="11257" max="11257" width="13.7109375" style="177" customWidth="1"/>
    <col min="11258" max="11258" width="19" style="177" customWidth="1"/>
    <col min="11259" max="11260" width="14.42578125" style="177" customWidth="1"/>
    <col min="11261" max="11261" width="5.28515625" style="177" customWidth="1"/>
    <col min="11262" max="11262" width="8.85546875" style="177"/>
    <col min="11263" max="11263" width="12" style="177" customWidth="1"/>
    <col min="11264" max="11265" width="8.85546875" style="177"/>
    <col min="11266" max="11266" width="11" style="177" customWidth="1"/>
    <col min="11267" max="11267" width="1.5703125" style="177" customWidth="1"/>
    <col min="11268" max="11510" width="8.85546875" style="177"/>
    <col min="11511" max="11511" width="1.85546875" style="177" customWidth="1"/>
    <col min="11512" max="11512" width="5.28515625" style="177" customWidth="1"/>
    <col min="11513" max="11513" width="13.7109375" style="177" customWidth="1"/>
    <col min="11514" max="11514" width="19" style="177" customWidth="1"/>
    <col min="11515" max="11516" width="14.42578125" style="177" customWidth="1"/>
    <col min="11517" max="11517" width="5.28515625" style="177" customWidth="1"/>
    <col min="11518" max="11518" width="8.85546875" style="177"/>
    <col min="11519" max="11519" width="12" style="177" customWidth="1"/>
    <col min="11520" max="11521" width="8.85546875" style="177"/>
    <col min="11522" max="11522" width="11" style="177" customWidth="1"/>
    <col min="11523" max="11523" width="1.5703125" style="177" customWidth="1"/>
    <col min="11524" max="11766" width="8.85546875" style="177"/>
    <col min="11767" max="11767" width="1.85546875" style="177" customWidth="1"/>
    <col min="11768" max="11768" width="5.28515625" style="177" customWidth="1"/>
    <col min="11769" max="11769" width="13.7109375" style="177" customWidth="1"/>
    <col min="11770" max="11770" width="19" style="177" customWidth="1"/>
    <col min="11771" max="11772" width="14.42578125" style="177" customWidth="1"/>
    <col min="11773" max="11773" width="5.28515625" style="177" customWidth="1"/>
    <col min="11774" max="11774" width="8.85546875" style="177"/>
    <col min="11775" max="11775" width="12" style="177" customWidth="1"/>
    <col min="11776" max="11777" width="8.85546875" style="177"/>
    <col min="11778" max="11778" width="11" style="177" customWidth="1"/>
    <col min="11779" max="11779" width="1.5703125" style="177" customWidth="1"/>
    <col min="11780" max="12022" width="8.85546875" style="177"/>
    <col min="12023" max="12023" width="1.85546875" style="177" customWidth="1"/>
    <col min="12024" max="12024" width="5.28515625" style="177" customWidth="1"/>
    <col min="12025" max="12025" width="13.7109375" style="177" customWidth="1"/>
    <col min="12026" max="12026" width="19" style="177" customWidth="1"/>
    <col min="12027" max="12028" width="14.42578125" style="177" customWidth="1"/>
    <col min="12029" max="12029" width="5.28515625" style="177" customWidth="1"/>
    <col min="12030" max="12030" width="8.85546875" style="177"/>
    <col min="12031" max="12031" width="12" style="177" customWidth="1"/>
    <col min="12032" max="12033" width="8.85546875" style="177"/>
    <col min="12034" max="12034" width="11" style="177" customWidth="1"/>
    <col min="12035" max="12035" width="1.5703125" style="177" customWidth="1"/>
    <col min="12036" max="12278" width="8.85546875" style="177"/>
    <col min="12279" max="12279" width="1.85546875" style="177" customWidth="1"/>
    <col min="12280" max="12280" width="5.28515625" style="177" customWidth="1"/>
    <col min="12281" max="12281" width="13.7109375" style="177" customWidth="1"/>
    <col min="12282" max="12282" width="19" style="177" customWidth="1"/>
    <col min="12283" max="12284" width="14.42578125" style="177" customWidth="1"/>
    <col min="12285" max="12285" width="5.28515625" style="177" customWidth="1"/>
    <col min="12286" max="12286" width="8.85546875" style="177"/>
    <col min="12287" max="12287" width="12" style="177" customWidth="1"/>
    <col min="12288" max="12289" width="8.85546875" style="177"/>
    <col min="12290" max="12290" width="11" style="177" customWidth="1"/>
    <col min="12291" max="12291" width="1.5703125" style="177" customWidth="1"/>
    <col min="12292" max="12534" width="8.85546875" style="177"/>
    <col min="12535" max="12535" width="1.85546875" style="177" customWidth="1"/>
    <col min="12536" max="12536" width="5.28515625" style="177" customWidth="1"/>
    <col min="12537" max="12537" width="13.7109375" style="177" customWidth="1"/>
    <col min="12538" max="12538" width="19" style="177" customWidth="1"/>
    <col min="12539" max="12540" width="14.42578125" style="177" customWidth="1"/>
    <col min="12541" max="12541" width="5.28515625" style="177" customWidth="1"/>
    <col min="12542" max="12542" width="8.85546875" style="177"/>
    <col min="12543" max="12543" width="12" style="177" customWidth="1"/>
    <col min="12544" max="12545" width="8.85546875" style="177"/>
    <col min="12546" max="12546" width="11" style="177" customWidth="1"/>
    <col min="12547" max="12547" width="1.5703125" style="177" customWidth="1"/>
    <col min="12548" max="12790" width="8.85546875" style="177"/>
    <col min="12791" max="12791" width="1.85546875" style="177" customWidth="1"/>
    <col min="12792" max="12792" width="5.28515625" style="177" customWidth="1"/>
    <col min="12793" max="12793" width="13.7109375" style="177" customWidth="1"/>
    <col min="12794" max="12794" width="19" style="177" customWidth="1"/>
    <col min="12795" max="12796" width="14.42578125" style="177" customWidth="1"/>
    <col min="12797" max="12797" width="5.28515625" style="177" customWidth="1"/>
    <col min="12798" max="12798" width="8.85546875" style="177"/>
    <col min="12799" max="12799" width="12" style="177" customWidth="1"/>
    <col min="12800" max="12801" width="8.85546875" style="177"/>
    <col min="12802" max="12802" width="11" style="177" customWidth="1"/>
    <col min="12803" max="12803" width="1.5703125" style="177" customWidth="1"/>
    <col min="12804" max="13046" width="8.85546875" style="177"/>
    <col min="13047" max="13047" width="1.85546875" style="177" customWidth="1"/>
    <col min="13048" max="13048" width="5.28515625" style="177" customWidth="1"/>
    <col min="13049" max="13049" width="13.7109375" style="177" customWidth="1"/>
    <col min="13050" max="13050" width="19" style="177" customWidth="1"/>
    <col min="13051" max="13052" width="14.42578125" style="177" customWidth="1"/>
    <col min="13053" max="13053" width="5.28515625" style="177" customWidth="1"/>
    <col min="13054" max="13054" width="8.85546875" style="177"/>
    <col min="13055" max="13055" width="12" style="177" customWidth="1"/>
    <col min="13056" max="13057" width="8.85546875" style="177"/>
    <col min="13058" max="13058" width="11" style="177" customWidth="1"/>
    <col min="13059" max="13059" width="1.5703125" style="177" customWidth="1"/>
    <col min="13060" max="13302" width="8.85546875" style="177"/>
    <col min="13303" max="13303" width="1.85546875" style="177" customWidth="1"/>
    <col min="13304" max="13304" width="5.28515625" style="177" customWidth="1"/>
    <col min="13305" max="13305" width="13.7109375" style="177" customWidth="1"/>
    <col min="13306" max="13306" width="19" style="177" customWidth="1"/>
    <col min="13307" max="13308" width="14.42578125" style="177" customWidth="1"/>
    <col min="13309" max="13309" width="5.28515625" style="177" customWidth="1"/>
    <col min="13310" max="13310" width="8.85546875" style="177"/>
    <col min="13311" max="13311" width="12" style="177" customWidth="1"/>
    <col min="13312" max="13313" width="8.85546875" style="177"/>
    <col min="13314" max="13314" width="11" style="177" customWidth="1"/>
    <col min="13315" max="13315" width="1.5703125" style="177" customWidth="1"/>
    <col min="13316" max="13558" width="8.85546875" style="177"/>
    <col min="13559" max="13559" width="1.85546875" style="177" customWidth="1"/>
    <col min="13560" max="13560" width="5.28515625" style="177" customWidth="1"/>
    <col min="13561" max="13561" width="13.7109375" style="177" customWidth="1"/>
    <col min="13562" max="13562" width="19" style="177" customWidth="1"/>
    <col min="13563" max="13564" width="14.42578125" style="177" customWidth="1"/>
    <col min="13565" max="13565" width="5.28515625" style="177" customWidth="1"/>
    <col min="13566" max="13566" width="8.85546875" style="177"/>
    <col min="13567" max="13567" width="12" style="177" customWidth="1"/>
    <col min="13568" max="13569" width="8.85546875" style="177"/>
    <col min="13570" max="13570" width="11" style="177" customWidth="1"/>
    <col min="13571" max="13571" width="1.5703125" style="177" customWidth="1"/>
    <col min="13572" max="13814" width="8.85546875" style="177"/>
    <col min="13815" max="13815" width="1.85546875" style="177" customWidth="1"/>
    <col min="13816" max="13816" width="5.28515625" style="177" customWidth="1"/>
    <col min="13817" max="13817" width="13.7109375" style="177" customWidth="1"/>
    <col min="13818" max="13818" width="19" style="177" customWidth="1"/>
    <col min="13819" max="13820" width="14.42578125" style="177" customWidth="1"/>
    <col min="13821" max="13821" width="5.28515625" style="177" customWidth="1"/>
    <col min="13822" max="13822" width="8.85546875" style="177"/>
    <col min="13823" max="13823" width="12" style="177" customWidth="1"/>
    <col min="13824" max="13825" width="8.85546875" style="177"/>
    <col min="13826" max="13826" width="11" style="177" customWidth="1"/>
    <col min="13827" max="13827" width="1.5703125" style="177" customWidth="1"/>
    <col min="13828" max="14070" width="8.85546875" style="177"/>
    <col min="14071" max="14071" width="1.85546875" style="177" customWidth="1"/>
    <col min="14072" max="14072" width="5.28515625" style="177" customWidth="1"/>
    <col min="14073" max="14073" width="13.7109375" style="177" customWidth="1"/>
    <col min="14074" max="14074" width="19" style="177" customWidth="1"/>
    <col min="14075" max="14076" width="14.42578125" style="177" customWidth="1"/>
    <col min="14077" max="14077" width="5.28515625" style="177" customWidth="1"/>
    <col min="14078" max="14078" width="8.85546875" style="177"/>
    <col min="14079" max="14079" width="12" style="177" customWidth="1"/>
    <col min="14080" max="14081" width="8.85546875" style="177"/>
    <col min="14082" max="14082" width="11" style="177" customWidth="1"/>
    <col min="14083" max="14083" width="1.5703125" style="177" customWidth="1"/>
    <col min="14084" max="14326" width="8.85546875" style="177"/>
    <col min="14327" max="14327" width="1.85546875" style="177" customWidth="1"/>
    <col min="14328" max="14328" width="5.28515625" style="177" customWidth="1"/>
    <col min="14329" max="14329" width="13.7109375" style="177" customWidth="1"/>
    <col min="14330" max="14330" width="19" style="177" customWidth="1"/>
    <col min="14331" max="14332" width="14.42578125" style="177" customWidth="1"/>
    <col min="14333" max="14333" width="5.28515625" style="177" customWidth="1"/>
    <col min="14334" max="14334" width="8.85546875" style="177"/>
    <col min="14335" max="14335" width="12" style="177" customWidth="1"/>
    <col min="14336" max="14337" width="8.85546875" style="177"/>
    <col min="14338" max="14338" width="11" style="177" customWidth="1"/>
    <col min="14339" max="14339" width="1.5703125" style="177" customWidth="1"/>
    <col min="14340" max="14582" width="8.85546875" style="177"/>
    <col min="14583" max="14583" width="1.85546875" style="177" customWidth="1"/>
    <col min="14584" max="14584" width="5.28515625" style="177" customWidth="1"/>
    <col min="14585" max="14585" width="13.7109375" style="177" customWidth="1"/>
    <col min="14586" max="14586" width="19" style="177" customWidth="1"/>
    <col min="14587" max="14588" width="14.42578125" style="177" customWidth="1"/>
    <col min="14589" max="14589" width="5.28515625" style="177" customWidth="1"/>
    <col min="14590" max="14590" width="8.85546875" style="177"/>
    <col min="14591" max="14591" width="12" style="177" customWidth="1"/>
    <col min="14592" max="14593" width="8.85546875" style="177"/>
    <col min="14594" max="14594" width="11" style="177" customWidth="1"/>
    <col min="14595" max="14595" width="1.5703125" style="177" customWidth="1"/>
    <col min="14596" max="14838" width="8.85546875" style="177"/>
    <col min="14839" max="14839" width="1.85546875" style="177" customWidth="1"/>
    <col min="14840" max="14840" width="5.28515625" style="177" customWidth="1"/>
    <col min="14841" max="14841" width="13.7109375" style="177" customWidth="1"/>
    <col min="14842" max="14842" width="19" style="177" customWidth="1"/>
    <col min="14843" max="14844" width="14.42578125" style="177" customWidth="1"/>
    <col min="14845" max="14845" width="5.28515625" style="177" customWidth="1"/>
    <col min="14846" max="14846" width="8.85546875" style="177"/>
    <col min="14847" max="14847" width="12" style="177" customWidth="1"/>
    <col min="14848" max="14849" width="8.85546875" style="177"/>
    <col min="14850" max="14850" width="11" style="177" customWidth="1"/>
    <col min="14851" max="14851" width="1.5703125" style="177" customWidth="1"/>
    <col min="14852" max="15094" width="8.85546875" style="177"/>
    <col min="15095" max="15095" width="1.85546875" style="177" customWidth="1"/>
    <col min="15096" max="15096" width="5.28515625" style="177" customWidth="1"/>
    <col min="15097" max="15097" width="13.7109375" style="177" customWidth="1"/>
    <col min="15098" max="15098" width="19" style="177" customWidth="1"/>
    <col min="15099" max="15100" width="14.42578125" style="177" customWidth="1"/>
    <col min="15101" max="15101" width="5.28515625" style="177" customWidth="1"/>
    <col min="15102" max="15102" width="8.85546875" style="177"/>
    <col min="15103" max="15103" width="12" style="177" customWidth="1"/>
    <col min="15104" max="15105" width="8.85546875" style="177"/>
    <col min="15106" max="15106" width="11" style="177" customWidth="1"/>
    <col min="15107" max="15107" width="1.5703125" style="177" customWidth="1"/>
    <col min="15108" max="15350" width="8.85546875" style="177"/>
    <col min="15351" max="15351" width="1.85546875" style="177" customWidth="1"/>
    <col min="15352" max="15352" width="5.28515625" style="177" customWidth="1"/>
    <col min="15353" max="15353" width="13.7109375" style="177" customWidth="1"/>
    <col min="15354" max="15354" width="19" style="177" customWidth="1"/>
    <col min="15355" max="15356" width="14.42578125" style="177" customWidth="1"/>
    <col min="15357" max="15357" width="5.28515625" style="177" customWidth="1"/>
    <col min="15358" max="15358" width="8.85546875" style="177"/>
    <col min="15359" max="15359" width="12" style="177" customWidth="1"/>
    <col min="15360" max="15361" width="8.85546875" style="177"/>
    <col min="15362" max="15362" width="11" style="177" customWidth="1"/>
    <col min="15363" max="15363" width="1.5703125" style="177" customWidth="1"/>
    <col min="15364" max="15606" width="8.85546875" style="177"/>
    <col min="15607" max="15607" width="1.85546875" style="177" customWidth="1"/>
    <col min="15608" max="15608" width="5.28515625" style="177" customWidth="1"/>
    <col min="15609" max="15609" width="13.7109375" style="177" customWidth="1"/>
    <col min="15610" max="15610" width="19" style="177" customWidth="1"/>
    <col min="15611" max="15612" width="14.42578125" style="177" customWidth="1"/>
    <col min="15613" max="15613" width="5.28515625" style="177" customWidth="1"/>
    <col min="15614" max="15614" width="8.85546875" style="177"/>
    <col min="15615" max="15615" width="12" style="177" customWidth="1"/>
    <col min="15616" max="15617" width="8.85546875" style="177"/>
    <col min="15618" max="15618" width="11" style="177" customWidth="1"/>
    <col min="15619" max="15619" width="1.5703125" style="177" customWidth="1"/>
    <col min="15620" max="15862" width="8.85546875" style="177"/>
    <col min="15863" max="15863" width="1.85546875" style="177" customWidth="1"/>
    <col min="15864" max="15864" width="5.28515625" style="177" customWidth="1"/>
    <col min="15865" max="15865" width="13.7109375" style="177" customWidth="1"/>
    <col min="15866" max="15866" width="19" style="177" customWidth="1"/>
    <col min="15867" max="15868" width="14.42578125" style="177" customWidth="1"/>
    <col min="15869" max="15869" width="5.28515625" style="177" customWidth="1"/>
    <col min="15870" max="15870" width="8.85546875" style="177"/>
    <col min="15871" max="15871" width="12" style="177" customWidth="1"/>
    <col min="15872" max="15873" width="8.85546875" style="177"/>
    <col min="15874" max="15874" width="11" style="177" customWidth="1"/>
    <col min="15875" max="15875" width="1.5703125" style="177" customWidth="1"/>
    <col min="15876" max="16118" width="8.85546875" style="177"/>
    <col min="16119" max="16119" width="1.85546875" style="177" customWidth="1"/>
    <col min="16120" max="16120" width="5.28515625" style="177" customWidth="1"/>
    <col min="16121" max="16121" width="13.7109375" style="177" customWidth="1"/>
    <col min="16122" max="16122" width="19" style="177" customWidth="1"/>
    <col min="16123" max="16124" width="14.42578125" style="177" customWidth="1"/>
    <col min="16125" max="16125" width="5.28515625" style="177" customWidth="1"/>
    <col min="16126" max="16126" width="8.85546875" style="177"/>
    <col min="16127" max="16127" width="12" style="177" customWidth="1"/>
    <col min="16128" max="16129" width="8.85546875" style="177"/>
    <col min="16130" max="16130" width="11" style="177" customWidth="1"/>
    <col min="16131" max="16131" width="1.5703125" style="177" customWidth="1"/>
    <col min="16132" max="16384" width="8.85546875" style="177"/>
  </cols>
  <sheetData>
    <row r="1" spans="1:9" ht="15" customHeight="1" x14ac:dyDescent="0.2">
      <c r="A1" s="329"/>
      <c r="B1" s="330" t="s">
        <v>107</v>
      </c>
      <c r="C1" s="330"/>
      <c r="D1" s="330"/>
      <c r="E1" s="331"/>
      <c r="F1" s="395" t="s">
        <v>108</v>
      </c>
      <c r="G1" s="396"/>
      <c r="H1" s="396"/>
      <c r="I1" s="397"/>
    </row>
    <row r="2" spans="1:9" ht="14.45" customHeight="1" x14ac:dyDescent="0.2">
      <c r="A2" s="332"/>
      <c r="B2" s="333"/>
      <c r="C2" s="180" t="s">
        <v>58</v>
      </c>
      <c r="D2" s="180" t="str">
        <f>'CADASTRO CLIENTE'!E3</f>
        <v>10.01.20</v>
      </c>
      <c r="E2" s="180"/>
      <c r="F2" s="181" t="s">
        <v>109</v>
      </c>
      <c r="G2" s="299" t="s">
        <v>110</v>
      </c>
      <c r="H2" s="398" t="s">
        <v>111</v>
      </c>
      <c r="I2" s="399"/>
    </row>
    <row r="3" spans="1:9" ht="15" x14ac:dyDescent="0.25">
      <c r="A3" s="332"/>
      <c r="B3" s="334" t="s">
        <v>45</v>
      </c>
      <c r="C3" s="400" t="str">
        <f>'CADASTRO CLIENTE'!C5</f>
        <v>10.01.20</v>
      </c>
      <c r="D3" s="400"/>
      <c r="F3" s="182" t="s">
        <v>112</v>
      </c>
      <c r="G3" s="183">
        <f>D54</f>
        <v>0</v>
      </c>
      <c r="H3" s="401" t="s">
        <v>281</v>
      </c>
      <c r="I3" s="402"/>
    </row>
    <row r="4" spans="1:9" ht="15" x14ac:dyDescent="0.25">
      <c r="A4" s="332"/>
      <c r="B4" s="334" t="s">
        <v>43</v>
      </c>
      <c r="C4" s="400">
        <f>'CADASTRO CLIENTE'!C6</f>
        <v>0</v>
      </c>
      <c r="D4" s="400"/>
      <c r="F4" s="184" t="s">
        <v>113</v>
      </c>
      <c r="G4" s="185">
        <f>(G3)/0.885</f>
        <v>0</v>
      </c>
      <c r="H4" s="403"/>
      <c r="I4" s="404"/>
    </row>
    <row r="5" spans="1:9" ht="15" x14ac:dyDescent="0.25">
      <c r="A5" s="332"/>
      <c r="B5" s="334" t="s">
        <v>57</v>
      </c>
      <c r="C5" s="400">
        <f>'CADASTRO CLIENTE'!C7</f>
        <v>0</v>
      </c>
      <c r="D5" s="400"/>
      <c r="F5" s="186" t="s">
        <v>114</v>
      </c>
      <c r="G5" s="187">
        <f>D58</f>
        <v>0</v>
      </c>
      <c r="H5" s="405">
        <f>G58</f>
        <v>0</v>
      </c>
      <c r="I5" s="406"/>
    </row>
    <row r="6" spans="1:9" ht="12.75" customHeight="1" x14ac:dyDescent="0.25">
      <c r="A6" s="332"/>
      <c r="B6" s="334" t="s">
        <v>44</v>
      </c>
      <c r="C6" s="400">
        <f>'CADASTRO CLIENTE'!C8</f>
        <v>0</v>
      </c>
      <c r="D6" s="400"/>
      <c r="F6" s="186" t="s">
        <v>115</v>
      </c>
      <c r="G6" s="187">
        <f>D61</f>
        <v>0</v>
      </c>
      <c r="H6" s="405">
        <f>G61</f>
        <v>0</v>
      </c>
      <c r="I6" s="406"/>
    </row>
    <row r="7" spans="1:9" ht="12.75" customHeight="1" x14ac:dyDescent="0.25">
      <c r="A7" s="332"/>
      <c r="B7" s="16" t="s">
        <v>47</v>
      </c>
      <c r="C7" s="400">
        <f>'CADASTRO CLIENTE'!C9</f>
        <v>0</v>
      </c>
      <c r="D7" s="400"/>
      <c r="F7" s="186" t="s">
        <v>116</v>
      </c>
      <c r="G7" s="187">
        <f>D63</f>
        <v>0</v>
      </c>
      <c r="H7" s="405">
        <f>G63</f>
        <v>0</v>
      </c>
      <c r="I7" s="406"/>
    </row>
    <row r="8" spans="1:9" ht="12.6" customHeight="1" x14ac:dyDescent="0.2">
      <c r="A8" s="412" t="s">
        <v>117</v>
      </c>
      <c r="B8" s="413"/>
      <c r="C8" s="413"/>
      <c r="D8" s="414"/>
      <c r="F8" s="186" t="s">
        <v>118</v>
      </c>
      <c r="G8" s="187">
        <f>D65</f>
        <v>0</v>
      </c>
      <c r="H8" s="405">
        <f>G65</f>
        <v>0</v>
      </c>
      <c r="I8" s="406"/>
    </row>
    <row r="9" spans="1:9" ht="3.6" customHeight="1" x14ac:dyDescent="0.2">
      <c r="A9" s="332"/>
      <c r="I9" s="335"/>
    </row>
    <row r="10" spans="1:9" ht="10.9" customHeight="1" x14ac:dyDescent="0.2">
      <c r="A10" s="336" t="s">
        <v>119</v>
      </c>
      <c r="B10" s="189" t="s">
        <v>120</v>
      </c>
      <c r="C10" s="368">
        <v>0.04</v>
      </c>
      <c r="D10" s="190">
        <f>$C$31*C10</f>
        <v>0</v>
      </c>
      <c r="E10" s="191"/>
      <c r="F10" s="192"/>
      <c r="G10" s="192"/>
      <c r="H10" s="192"/>
      <c r="I10" s="337"/>
    </row>
    <row r="11" spans="1:9" x14ac:dyDescent="0.2">
      <c r="A11" s="415" t="s">
        <v>7</v>
      </c>
      <c r="B11" s="192" t="s">
        <v>121</v>
      </c>
      <c r="C11" s="368">
        <v>0.03</v>
      </c>
      <c r="D11" s="190">
        <f>$C$31*C11</f>
        <v>0</v>
      </c>
      <c r="E11" s="191"/>
      <c r="I11" s="335"/>
    </row>
    <row r="12" spans="1:9" x14ac:dyDescent="0.2">
      <c r="A12" s="416"/>
      <c r="B12" s="192" t="s">
        <v>9</v>
      </c>
      <c r="C12" s="368">
        <v>0</v>
      </c>
      <c r="D12" s="190">
        <f>$C$31*C12</f>
        <v>0</v>
      </c>
      <c r="E12" s="191"/>
      <c r="I12" s="335"/>
    </row>
    <row r="13" spans="1:9" x14ac:dyDescent="0.2">
      <c r="A13" s="417"/>
      <c r="B13" s="193" t="s">
        <v>7</v>
      </c>
      <c r="C13" s="368">
        <v>1.4999999999999999E-2</v>
      </c>
      <c r="D13" s="190">
        <f>$C$31*C13</f>
        <v>0</v>
      </c>
      <c r="E13" s="191"/>
      <c r="I13" s="335"/>
    </row>
    <row r="14" spans="1:9" x14ac:dyDescent="0.2">
      <c r="A14" s="407" t="s">
        <v>124</v>
      </c>
      <c r="B14" s="408"/>
      <c r="C14" s="194">
        <f>SUM(C10:C13)</f>
        <v>8.5000000000000006E-2</v>
      </c>
      <c r="D14" s="195">
        <f>SUM(D10:D13)</f>
        <v>0</v>
      </c>
      <c r="E14" s="196"/>
      <c r="I14" s="335"/>
    </row>
    <row r="15" spans="1:9" ht="10.9" customHeight="1" x14ac:dyDescent="0.2">
      <c r="A15" s="407" t="s">
        <v>126</v>
      </c>
      <c r="B15" s="409"/>
      <c r="C15" s="369">
        <v>0.15</v>
      </c>
      <c r="D15" s="197">
        <f>C15*$C$31</f>
        <v>0</v>
      </c>
      <c r="E15" s="198"/>
      <c r="F15" s="192"/>
      <c r="G15" s="192"/>
      <c r="H15" s="192"/>
      <c r="I15" s="337"/>
    </row>
    <row r="16" spans="1:9" ht="10.9" customHeight="1" x14ac:dyDescent="0.2">
      <c r="A16" s="338"/>
      <c r="B16" s="192"/>
      <c r="C16" s="199"/>
      <c r="D16" s="200"/>
      <c r="E16" s="198"/>
      <c r="F16" s="192"/>
      <c r="G16" s="192"/>
      <c r="H16" s="192"/>
      <c r="I16" s="337"/>
    </row>
    <row r="17" spans="1:9" ht="15" customHeight="1" x14ac:dyDescent="0.2">
      <c r="A17" s="410" t="s">
        <v>127</v>
      </c>
      <c r="B17" s="411"/>
      <c r="C17" s="411"/>
      <c r="D17" s="411"/>
      <c r="E17" s="200"/>
      <c r="F17" s="211"/>
      <c r="G17" s="211"/>
      <c r="H17" s="211"/>
      <c r="I17" s="339"/>
    </row>
    <row r="18" spans="1:9" ht="10.15" customHeight="1" x14ac:dyDescent="0.2">
      <c r="A18" s="420" t="s">
        <v>128</v>
      </c>
      <c r="B18" s="421"/>
      <c r="C18" s="201" t="e">
        <f>D18*$C$26/$D$26</f>
        <v>#DIV/0!</v>
      </c>
      <c r="D18" s="202">
        <f>MATERIAIS!F7</f>
        <v>0</v>
      </c>
      <c r="E18" s="203"/>
      <c r="F18" s="371"/>
      <c r="G18" s="192"/>
      <c r="H18" s="192"/>
      <c r="I18" s="337"/>
    </row>
    <row r="19" spans="1:9" ht="10.15" customHeight="1" x14ac:dyDescent="0.2">
      <c r="A19" s="340"/>
      <c r="B19" s="297" t="s">
        <v>180</v>
      </c>
      <c r="C19" s="201" t="e">
        <f>D19*$C$26/$D$26</f>
        <v>#DIV/0!</v>
      </c>
      <c r="D19" s="202">
        <f>'PRODUÇÃO E MONTAGEM'!F9</f>
        <v>0</v>
      </c>
      <c r="E19" s="203"/>
      <c r="F19" s="371"/>
      <c r="G19" s="192"/>
      <c r="H19" s="192"/>
      <c r="I19" s="337"/>
    </row>
    <row r="20" spans="1:9" ht="10.15" customHeight="1" x14ac:dyDescent="0.2">
      <c r="A20" s="420" t="s">
        <v>184</v>
      </c>
      <c r="B20" s="421"/>
      <c r="C20" s="201" t="e">
        <f t="shared" ref="C20:C25" si="0">D20*$C$26/$D$26</f>
        <v>#DIV/0!</v>
      </c>
      <c r="D20" s="202">
        <f>'PRODUÇÃO E MONTAGEM'!F14</f>
        <v>0</v>
      </c>
      <c r="E20" s="203"/>
      <c r="F20" s="371"/>
      <c r="G20" s="192"/>
      <c r="H20" s="192"/>
      <c r="I20" s="337"/>
    </row>
    <row r="21" spans="1:9" ht="10.15" customHeight="1" x14ac:dyDescent="0.2">
      <c r="A21" s="420" t="s">
        <v>129</v>
      </c>
      <c r="B21" s="421"/>
      <c r="C21" s="201" t="e">
        <f t="shared" si="0"/>
        <v>#DIV/0!</v>
      </c>
      <c r="D21" s="202">
        <f>'PRODUÇÃO E MONTAGEM'!F19</f>
        <v>0</v>
      </c>
      <c r="E21" s="204"/>
      <c r="F21" s="192"/>
      <c r="G21" s="192"/>
      <c r="H21" s="192"/>
      <c r="I21" s="337"/>
    </row>
    <row r="22" spans="1:9" ht="10.15" customHeight="1" x14ac:dyDescent="0.2">
      <c r="A22" s="340"/>
      <c r="B22" s="297" t="s">
        <v>130</v>
      </c>
      <c r="C22" s="201" t="e">
        <f t="shared" si="0"/>
        <v>#DIV/0!</v>
      </c>
      <c r="D22" s="202">
        <f>'PRODUÇÃO E MONTAGEM'!F31</f>
        <v>0</v>
      </c>
      <c r="E22" s="204"/>
      <c r="F22" s="371"/>
      <c r="G22" s="192"/>
      <c r="H22" s="192"/>
      <c r="I22" s="337"/>
    </row>
    <row r="23" spans="1:9" ht="10.15" customHeight="1" x14ac:dyDescent="0.2">
      <c r="A23" s="340"/>
      <c r="B23" s="297" t="s">
        <v>185</v>
      </c>
      <c r="C23" s="201" t="e">
        <f t="shared" si="0"/>
        <v>#DIV/0!</v>
      </c>
      <c r="D23" s="202">
        <f>'PRODUÇÃO E MONTAGEM'!F38</f>
        <v>0</v>
      </c>
      <c r="E23" s="204"/>
      <c r="I23" s="335"/>
    </row>
    <row r="24" spans="1:9" ht="10.15" customHeight="1" x14ac:dyDescent="0.2">
      <c r="A24" s="420" t="s">
        <v>131</v>
      </c>
      <c r="B24" s="421"/>
      <c r="C24" s="201" t="e">
        <f t="shared" si="0"/>
        <v>#DIV/0!</v>
      </c>
      <c r="D24" s="202">
        <f>SUM(D18:D23)</f>
        <v>0</v>
      </c>
      <c r="E24" s="204"/>
      <c r="I24" s="335"/>
    </row>
    <row r="25" spans="1:9" ht="10.15" customHeight="1" x14ac:dyDescent="0.2">
      <c r="A25" s="341"/>
      <c r="B25" s="205" t="s">
        <v>132</v>
      </c>
      <c r="C25" s="201" t="e">
        <f t="shared" si="0"/>
        <v>#DIV/0!</v>
      </c>
      <c r="D25" s="372">
        <v>0</v>
      </c>
      <c r="E25" s="204"/>
      <c r="I25" s="335"/>
    </row>
    <row r="26" spans="1:9" ht="10.15" customHeight="1" x14ac:dyDescent="0.2">
      <c r="A26" s="422" t="s">
        <v>133</v>
      </c>
      <c r="B26" s="423"/>
      <c r="C26" s="206">
        <v>1</v>
      </c>
      <c r="D26" s="207">
        <f>D24+D25</f>
        <v>0</v>
      </c>
      <c r="E26" s="208"/>
      <c r="F26" s="192"/>
      <c r="G26" s="192"/>
      <c r="H26" s="192"/>
      <c r="I26" s="337"/>
    </row>
    <row r="27" spans="1:9" ht="10.15" customHeight="1" x14ac:dyDescent="0.2">
      <c r="A27" s="342"/>
      <c r="B27" s="192"/>
      <c r="C27" s="199"/>
      <c r="D27" s="343"/>
      <c r="E27" s="209"/>
      <c r="F27" s="192"/>
      <c r="G27" s="192"/>
      <c r="H27" s="192"/>
      <c r="I27" s="337"/>
    </row>
    <row r="28" spans="1:9" ht="10.15" customHeight="1" x14ac:dyDescent="0.2">
      <c r="A28" s="407" t="s">
        <v>134</v>
      </c>
      <c r="B28" s="408"/>
      <c r="C28" s="408"/>
      <c r="D28" s="409"/>
      <c r="E28" s="343"/>
      <c r="F28" s="192"/>
      <c r="G28" s="192"/>
      <c r="H28" s="192"/>
      <c r="I28" s="337"/>
    </row>
    <row r="29" spans="1:9" ht="10.15" customHeight="1" x14ac:dyDescent="0.2">
      <c r="A29" s="424" t="s">
        <v>135</v>
      </c>
      <c r="B29" s="425"/>
      <c r="C29" s="210">
        <f>1/(1-(C14+C15))</f>
        <v>1.3071895424836601</v>
      </c>
      <c r="D29" s="298"/>
      <c r="E29" s="203"/>
      <c r="F29" s="211"/>
      <c r="G29" s="211"/>
      <c r="H29" s="211"/>
      <c r="I29" s="339"/>
    </row>
    <row r="30" spans="1:9" ht="10.15" customHeight="1" x14ac:dyDescent="0.2">
      <c r="A30" s="426"/>
      <c r="B30" s="427"/>
      <c r="C30" s="427"/>
      <c r="D30" s="428"/>
      <c r="E30" s="343"/>
      <c r="F30" s="192"/>
      <c r="G30" s="192"/>
      <c r="H30" s="192"/>
      <c r="I30" s="337"/>
    </row>
    <row r="31" spans="1:9" ht="10.15" customHeight="1" x14ac:dyDescent="0.2">
      <c r="A31" s="418" t="s">
        <v>122</v>
      </c>
      <c r="B31" s="419"/>
      <c r="C31" s="212">
        <f>($D$26)*C29</f>
        <v>0</v>
      </c>
      <c r="D31" s="213">
        <v>1</v>
      </c>
      <c r="E31" s="343"/>
      <c r="F31" s="192"/>
      <c r="G31" s="192"/>
      <c r="H31" s="192"/>
      <c r="I31" s="337"/>
    </row>
    <row r="32" spans="1:9" ht="10.15" customHeight="1" x14ac:dyDescent="0.2">
      <c r="A32" s="418" t="s">
        <v>123</v>
      </c>
      <c r="B32" s="419"/>
      <c r="C32" s="212">
        <f>D10</f>
        <v>0</v>
      </c>
      <c r="D32" s="213" t="e">
        <f>C32*$D$31/$C$31</f>
        <v>#DIV/0!</v>
      </c>
      <c r="E32" s="192"/>
      <c r="F32" s="192"/>
      <c r="G32" s="192"/>
      <c r="H32" s="192"/>
      <c r="I32" s="344"/>
    </row>
    <row r="33" spans="1:9" ht="10.15" customHeight="1" x14ac:dyDescent="0.2">
      <c r="A33" s="418" t="s">
        <v>125</v>
      </c>
      <c r="B33" s="419"/>
      <c r="C33" s="212">
        <f>D18</f>
        <v>0</v>
      </c>
      <c r="D33" s="213" t="e">
        <f>C33*$D$31/$C$31</f>
        <v>#DIV/0!</v>
      </c>
      <c r="E33" s="192"/>
      <c r="F33" s="192"/>
      <c r="G33" s="192"/>
      <c r="H33" s="192"/>
      <c r="I33" s="344"/>
    </row>
    <row r="34" spans="1:9" ht="10.15" customHeight="1" x14ac:dyDescent="0.2">
      <c r="A34" s="418" t="s">
        <v>136</v>
      </c>
      <c r="B34" s="419"/>
      <c r="C34" s="212">
        <f>D21+D22+D20+D23</f>
        <v>0</v>
      </c>
      <c r="D34" s="213" t="e">
        <f>C34*$D$31/$C$31</f>
        <v>#DIV/0!</v>
      </c>
      <c r="E34" s="192"/>
      <c r="F34" s="192"/>
      <c r="G34" s="192"/>
      <c r="H34" s="192"/>
      <c r="I34" s="344"/>
    </row>
    <row r="35" spans="1:9" ht="10.15" customHeight="1" x14ac:dyDescent="0.2">
      <c r="A35" s="345" t="s">
        <v>137</v>
      </c>
      <c r="B35" s="214"/>
      <c r="C35" s="212">
        <f>C33+C34+D10</f>
        <v>0</v>
      </c>
      <c r="D35" s="213" t="e">
        <f>C35*$D$31/$C$31</f>
        <v>#DIV/0!</v>
      </c>
      <c r="E35" s="192"/>
      <c r="F35" s="192"/>
      <c r="G35" s="192"/>
      <c r="H35" s="192"/>
      <c r="I35" s="337"/>
    </row>
    <row r="36" spans="1:9" ht="10.15" customHeight="1" x14ac:dyDescent="0.2">
      <c r="A36" s="418" t="s">
        <v>126</v>
      </c>
      <c r="B36" s="419"/>
      <c r="C36" s="212">
        <f>D15</f>
        <v>0</v>
      </c>
      <c r="D36" s="213" t="e">
        <f>C36*$D$31/$C$31</f>
        <v>#DIV/0!</v>
      </c>
      <c r="E36" s="192"/>
      <c r="F36" s="192"/>
      <c r="G36" s="192"/>
      <c r="H36" s="192"/>
      <c r="I36" s="337"/>
    </row>
    <row r="37" spans="1:9" ht="10.15" customHeight="1" x14ac:dyDescent="0.2">
      <c r="A37" s="332"/>
      <c r="E37" s="192"/>
      <c r="F37" s="192"/>
      <c r="G37" s="192"/>
      <c r="H37" s="192"/>
      <c r="I37" s="337"/>
    </row>
    <row r="38" spans="1:9" ht="10.15" customHeight="1" x14ac:dyDescent="0.2">
      <c r="A38" s="429" t="s">
        <v>139</v>
      </c>
      <c r="B38" s="430"/>
      <c r="C38" s="430"/>
      <c r="D38" s="431"/>
      <c r="E38" s="192"/>
      <c r="F38" s="192"/>
      <c r="G38" s="192"/>
      <c r="H38" s="192"/>
      <c r="I38" s="337"/>
    </row>
    <row r="39" spans="1:9" x14ac:dyDescent="0.2">
      <c r="A39" s="432" t="s">
        <v>140</v>
      </c>
      <c r="B39" s="433"/>
      <c r="C39" s="215" t="e">
        <f>C31/C33</f>
        <v>#DIV/0!</v>
      </c>
      <c r="D39" s="216">
        <f>C31</f>
        <v>0</v>
      </c>
      <c r="E39" s="192"/>
      <c r="F39" s="192"/>
      <c r="G39" s="192"/>
      <c r="H39" s="192"/>
      <c r="I39" s="337"/>
    </row>
    <row r="40" spans="1:9" x14ac:dyDescent="0.2">
      <c r="A40" s="434" t="s">
        <v>141</v>
      </c>
      <c r="B40" s="435"/>
      <c r="C40" s="217">
        <v>3</v>
      </c>
      <c r="D40" s="218">
        <f>C33*C40</f>
        <v>0</v>
      </c>
      <c r="E40" s="192"/>
      <c r="F40" s="192"/>
      <c r="G40" s="192"/>
      <c r="H40" s="192"/>
      <c r="I40" s="337"/>
    </row>
    <row r="41" spans="1:9" x14ac:dyDescent="0.2">
      <c r="A41" s="436" t="s">
        <v>142</v>
      </c>
      <c r="B41" s="437"/>
      <c r="C41" s="219"/>
      <c r="D41" s="374">
        <f>D40-C31</f>
        <v>0</v>
      </c>
      <c r="E41" s="192"/>
      <c r="F41" s="192"/>
      <c r="G41" s="192"/>
      <c r="H41" s="192"/>
      <c r="I41" s="337"/>
    </row>
    <row r="42" spans="1:9" ht="10.15" customHeight="1" x14ac:dyDescent="0.2">
      <c r="A42" s="332"/>
      <c r="E42" s="192"/>
      <c r="F42" s="192"/>
      <c r="G42" s="192"/>
      <c r="H42" s="192"/>
      <c r="I42" s="337"/>
    </row>
    <row r="43" spans="1:9" ht="10.15" customHeight="1" x14ac:dyDescent="0.2">
      <c r="A43" s="332"/>
      <c r="E43" s="192"/>
      <c r="F43" s="192"/>
      <c r="G43" s="192"/>
      <c r="H43" s="192"/>
      <c r="I43" s="337"/>
    </row>
    <row r="44" spans="1:9" ht="10.15" customHeight="1" thickBot="1" x14ac:dyDescent="0.25">
      <c r="A44" s="346"/>
      <c r="B44" s="347"/>
      <c r="C44" s="348"/>
      <c r="D44" s="349"/>
      <c r="E44" s="350"/>
      <c r="F44" s="350"/>
      <c r="G44" s="350"/>
      <c r="H44" s="350"/>
      <c r="I44" s="351"/>
    </row>
    <row r="45" spans="1:9" ht="12" customHeight="1" x14ac:dyDescent="0.2">
      <c r="B45" s="178" t="s">
        <v>107</v>
      </c>
      <c r="C45" s="178"/>
      <c r="D45" s="178"/>
      <c r="E45" s="221"/>
    </row>
    <row r="46" spans="1:9" ht="12" customHeight="1" x14ac:dyDescent="0.25">
      <c r="B46" s="222"/>
      <c r="C46" s="180" t="s">
        <v>58</v>
      </c>
      <c r="D46" s="179" t="str">
        <f>D2</f>
        <v>10.01.20</v>
      </c>
      <c r="E46" s="187"/>
    </row>
    <row r="47" spans="1:9" ht="12" customHeight="1" x14ac:dyDescent="0.25">
      <c r="C47" s="3"/>
      <c r="D47" s="177"/>
      <c r="E47" s="187"/>
      <c r="F47" s="223"/>
      <c r="G47" s="224"/>
      <c r="H47" s="224"/>
    </row>
    <row r="48" spans="1:9" ht="12" customHeight="1" x14ac:dyDescent="0.2">
      <c r="B48" s="225" t="s">
        <v>43</v>
      </c>
      <c r="C48" s="226">
        <f>C4</f>
        <v>0</v>
      </c>
      <c r="D48" s="177"/>
      <c r="E48" s="187"/>
      <c r="F48" s="223"/>
      <c r="G48" s="227"/>
      <c r="H48" s="227"/>
      <c r="I48" s="228"/>
    </row>
    <row r="49" spans="1:9" ht="12" customHeight="1" x14ac:dyDescent="0.2">
      <c r="B49" s="225" t="s">
        <v>47</v>
      </c>
      <c r="C49" s="226">
        <f>C5</f>
        <v>0</v>
      </c>
      <c r="D49" s="177"/>
      <c r="E49" s="187"/>
      <c r="F49" s="223"/>
      <c r="G49" s="227"/>
      <c r="H49" s="227"/>
      <c r="I49" s="228"/>
    </row>
    <row r="50" spans="1:9" ht="12" customHeight="1" x14ac:dyDescent="0.2">
      <c r="B50" s="229" t="s">
        <v>44</v>
      </c>
      <c r="C50" s="226">
        <f>C6</f>
        <v>0</v>
      </c>
      <c r="D50" s="177"/>
      <c r="E50" s="187"/>
      <c r="F50" s="223"/>
      <c r="G50" s="227"/>
      <c r="H50" s="227"/>
      <c r="I50" s="228"/>
    </row>
    <row r="51" spans="1:9" ht="12" customHeight="1" x14ac:dyDescent="0.2">
      <c r="A51" s="220"/>
      <c r="B51" s="220"/>
      <c r="D51" s="187"/>
      <c r="E51" s="187"/>
      <c r="F51" s="223"/>
      <c r="G51" s="227"/>
      <c r="H51" s="227"/>
      <c r="I51" s="228"/>
    </row>
    <row r="52" spans="1:9" ht="12" customHeight="1" x14ac:dyDescent="0.2">
      <c r="A52" s="230" t="s">
        <v>143</v>
      </c>
      <c r="B52" s="231"/>
      <c r="C52" s="231" t="s">
        <v>138</v>
      </c>
      <c r="D52" s="232" t="s">
        <v>110</v>
      </c>
      <c r="E52" s="233"/>
      <c r="F52" s="234" t="s">
        <v>144</v>
      </c>
      <c r="G52" s="234" t="s">
        <v>145</v>
      </c>
      <c r="H52" s="235"/>
      <c r="I52" s="236"/>
    </row>
    <row r="53" spans="1:9" ht="12" customHeight="1" x14ac:dyDescent="0.2">
      <c r="A53" s="440" t="s">
        <v>146</v>
      </c>
      <c r="B53" s="440"/>
      <c r="C53" s="237">
        <v>0</v>
      </c>
      <c r="D53" s="238">
        <f>C31</f>
        <v>0</v>
      </c>
      <c r="E53" s="239"/>
      <c r="F53" s="240">
        <f>D53*0.7</f>
        <v>0</v>
      </c>
      <c r="G53" s="240">
        <f>D53*0.3</f>
        <v>0</v>
      </c>
      <c r="H53" s="241"/>
      <c r="I53" s="187"/>
    </row>
    <row r="54" spans="1:9" x14ac:dyDescent="0.2">
      <c r="A54" s="440" t="s">
        <v>147</v>
      </c>
      <c r="B54" s="440"/>
      <c r="C54" s="370">
        <v>0</v>
      </c>
      <c r="D54" s="242">
        <f>(D53/(100-C54))*100</f>
        <v>0</v>
      </c>
      <c r="E54" s="243"/>
      <c r="F54" s="240">
        <f>D54*0.7</f>
        <v>0</v>
      </c>
      <c r="G54" s="240">
        <f>F54*0.3</f>
        <v>0</v>
      </c>
      <c r="H54" s="241"/>
      <c r="I54" s="187"/>
    </row>
    <row r="55" spans="1:9" x14ac:dyDescent="0.2">
      <c r="A55" s="244"/>
      <c r="B55" s="244"/>
      <c r="C55" s="245"/>
      <c r="D55" s="220"/>
      <c r="E55" s="220"/>
    </row>
    <row r="56" spans="1:9" x14ac:dyDescent="0.2">
      <c r="A56" s="244"/>
      <c r="B56" s="244"/>
      <c r="C56" s="245"/>
      <c r="D56" s="220"/>
      <c r="E56" s="220"/>
    </row>
    <row r="57" spans="1:9" x14ac:dyDescent="0.2">
      <c r="A57" s="230" t="s">
        <v>148</v>
      </c>
      <c r="B57" s="230"/>
      <c r="C57" s="231" t="s">
        <v>149</v>
      </c>
      <c r="D57" s="246" t="s">
        <v>150</v>
      </c>
      <c r="E57" s="247"/>
      <c r="F57" s="230" t="s">
        <v>151</v>
      </c>
      <c r="G57" s="231" t="s">
        <v>152</v>
      </c>
      <c r="H57" s="231" t="s">
        <v>153</v>
      </c>
    </row>
    <row r="58" spans="1:9" x14ac:dyDescent="0.2">
      <c r="A58" s="441" t="s">
        <v>154</v>
      </c>
      <c r="B58" s="442"/>
      <c r="C58" s="248">
        <v>0.34320000000000001</v>
      </c>
      <c r="D58" s="249">
        <f t="shared" ref="D58:D67" si="1">G58*F58</f>
        <v>0</v>
      </c>
      <c r="E58" s="250"/>
      <c r="F58" s="251">
        <v>3</v>
      </c>
      <c r="G58" s="252">
        <f>$D$54*C58</f>
        <v>0</v>
      </c>
      <c r="H58" s="253">
        <v>5.3999999999999999E-2</v>
      </c>
    </row>
    <row r="59" spans="1:9" x14ac:dyDescent="0.2">
      <c r="A59" s="438" t="s">
        <v>155</v>
      </c>
      <c r="B59" s="439"/>
      <c r="C59" s="254">
        <v>0.26119999999999999</v>
      </c>
      <c r="D59" s="255">
        <f t="shared" si="1"/>
        <v>0</v>
      </c>
      <c r="E59" s="256"/>
      <c r="F59" s="257">
        <v>4</v>
      </c>
      <c r="G59" s="252">
        <f t="shared" ref="G59:G67" si="2">$D$54*C59</f>
        <v>0</v>
      </c>
      <c r="H59" s="253">
        <v>6.3E-2</v>
      </c>
    </row>
    <row r="60" spans="1:9" x14ac:dyDescent="0.2">
      <c r="A60" s="443" t="s">
        <v>156</v>
      </c>
      <c r="B60" s="444"/>
      <c r="C60" s="258">
        <v>0.21199999999999999</v>
      </c>
      <c r="D60" s="249">
        <f t="shared" si="1"/>
        <v>0</v>
      </c>
      <c r="E60" s="250"/>
      <c r="F60" s="237">
        <v>5</v>
      </c>
      <c r="G60" s="252">
        <f t="shared" si="2"/>
        <v>0</v>
      </c>
      <c r="H60" s="253">
        <v>7.0999999999999994E-2</v>
      </c>
    </row>
    <row r="61" spans="1:9" x14ac:dyDescent="0.2">
      <c r="A61" s="438" t="s">
        <v>157</v>
      </c>
      <c r="B61" s="439"/>
      <c r="C61" s="254">
        <v>0.1792</v>
      </c>
      <c r="D61" s="259">
        <f t="shared" si="1"/>
        <v>0</v>
      </c>
      <c r="E61" s="260"/>
      <c r="F61" s="261">
        <v>6</v>
      </c>
      <c r="G61" s="252">
        <f t="shared" si="2"/>
        <v>0</v>
      </c>
      <c r="H61" s="253">
        <v>0.08</v>
      </c>
    </row>
    <row r="62" spans="1:9" x14ac:dyDescent="0.2">
      <c r="A62" s="443" t="s">
        <v>158</v>
      </c>
      <c r="B62" s="444"/>
      <c r="C62" s="258">
        <v>0.15579999999999999</v>
      </c>
      <c r="D62" s="249">
        <f t="shared" si="1"/>
        <v>0</v>
      </c>
      <c r="E62" s="250"/>
      <c r="F62" s="237">
        <v>7</v>
      </c>
      <c r="G62" s="252">
        <f t="shared" si="2"/>
        <v>0</v>
      </c>
      <c r="H62" s="253">
        <v>8.8999999999999996E-2</v>
      </c>
    </row>
    <row r="63" spans="1:9" x14ac:dyDescent="0.2">
      <c r="A63" s="438" t="s">
        <v>159</v>
      </c>
      <c r="B63" s="439"/>
      <c r="C63" s="254">
        <v>0.13830000000000001</v>
      </c>
      <c r="D63" s="255">
        <f t="shared" si="1"/>
        <v>0</v>
      </c>
      <c r="E63" s="256"/>
      <c r="F63" s="257">
        <v>8</v>
      </c>
      <c r="G63" s="252">
        <f t="shared" si="2"/>
        <v>0</v>
      </c>
      <c r="H63" s="253">
        <v>9.7000000000000003E-2</v>
      </c>
    </row>
    <row r="64" spans="1:9" x14ac:dyDescent="0.2">
      <c r="A64" s="443" t="s">
        <v>160</v>
      </c>
      <c r="B64" s="444"/>
      <c r="C64" s="258">
        <v>0.12470000000000001</v>
      </c>
      <c r="D64" s="249">
        <f t="shared" si="1"/>
        <v>0</v>
      </c>
      <c r="E64" s="250"/>
      <c r="F64" s="251">
        <v>9</v>
      </c>
      <c r="G64" s="252">
        <f t="shared" si="2"/>
        <v>0</v>
      </c>
      <c r="H64" s="253">
        <v>0.106</v>
      </c>
    </row>
    <row r="65" spans="1:8" x14ac:dyDescent="0.2">
      <c r="A65" s="438" t="s">
        <v>161</v>
      </c>
      <c r="B65" s="439"/>
      <c r="C65" s="254">
        <v>0.1138</v>
      </c>
      <c r="D65" s="255">
        <f t="shared" si="1"/>
        <v>0</v>
      </c>
      <c r="E65" s="256"/>
      <c r="F65" s="257">
        <v>10</v>
      </c>
      <c r="G65" s="252">
        <f t="shared" si="2"/>
        <v>0</v>
      </c>
      <c r="H65" s="253">
        <v>0.114</v>
      </c>
    </row>
    <row r="66" spans="1:8" x14ac:dyDescent="0.2">
      <c r="A66" s="443" t="s">
        <v>162</v>
      </c>
      <c r="B66" s="444"/>
      <c r="C66" s="258">
        <v>0.10489999999999999</v>
      </c>
      <c r="D66" s="249">
        <f t="shared" si="1"/>
        <v>0</v>
      </c>
      <c r="E66" s="250"/>
      <c r="F66" s="237">
        <v>11</v>
      </c>
      <c r="G66" s="252">
        <f t="shared" si="2"/>
        <v>0</v>
      </c>
      <c r="H66" s="253">
        <v>0.123</v>
      </c>
    </row>
    <row r="67" spans="1:8" x14ac:dyDescent="0.2">
      <c r="A67" s="438" t="s">
        <v>163</v>
      </c>
      <c r="B67" s="439"/>
      <c r="C67" s="254">
        <v>9.7500000000000003E-2</v>
      </c>
      <c r="D67" s="255">
        <f t="shared" si="1"/>
        <v>0</v>
      </c>
      <c r="E67" s="256"/>
      <c r="F67" s="261">
        <v>12</v>
      </c>
      <c r="G67" s="252">
        <f t="shared" si="2"/>
        <v>0</v>
      </c>
      <c r="H67" s="253">
        <v>0.129</v>
      </c>
    </row>
    <row r="68" spans="1:8" x14ac:dyDescent="0.2">
      <c r="E68" s="177"/>
    </row>
    <row r="69" spans="1:8" x14ac:dyDescent="0.2">
      <c r="E69" s="177"/>
    </row>
    <row r="70" spans="1:8" x14ac:dyDescent="0.2">
      <c r="E70" s="177"/>
    </row>
  </sheetData>
  <mergeCells count="47">
    <mergeCell ref="A67:B67"/>
    <mergeCell ref="A53:B53"/>
    <mergeCell ref="A54:B54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38:D38"/>
    <mergeCell ref="A39:B39"/>
    <mergeCell ref="A40:B40"/>
    <mergeCell ref="A41:B41"/>
    <mergeCell ref="A36:B36"/>
    <mergeCell ref="A34:B34"/>
    <mergeCell ref="A18:B18"/>
    <mergeCell ref="A21:B21"/>
    <mergeCell ref="A24:B24"/>
    <mergeCell ref="A26:B26"/>
    <mergeCell ref="A28:D28"/>
    <mergeCell ref="A29:B29"/>
    <mergeCell ref="A30:D30"/>
    <mergeCell ref="A31:B31"/>
    <mergeCell ref="A32:B32"/>
    <mergeCell ref="A33:B33"/>
    <mergeCell ref="A20:B20"/>
    <mergeCell ref="A14:B14"/>
    <mergeCell ref="A15:B15"/>
    <mergeCell ref="A17:D17"/>
    <mergeCell ref="A8:D8"/>
    <mergeCell ref="H8:I8"/>
    <mergeCell ref="A11:A13"/>
    <mergeCell ref="C5:D5"/>
    <mergeCell ref="H5:I5"/>
    <mergeCell ref="C6:D6"/>
    <mergeCell ref="H6:I6"/>
    <mergeCell ref="C7:D7"/>
    <mergeCell ref="H7:I7"/>
    <mergeCell ref="F1:I1"/>
    <mergeCell ref="H2:I2"/>
    <mergeCell ref="C3:D3"/>
    <mergeCell ref="H3:I3"/>
    <mergeCell ref="C4:D4"/>
    <mergeCell ref="H4:I4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CLIENTE</vt:lpstr>
      <vt:lpstr>MATERIAIS</vt:lpstr>
      <vt:lpstr>PRODUÇÃO E MONTAGEM</vt:lpstr>
      <vt:lpstr>PREÇO DE 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Master</cp:lastModifiedBy>
  <cp:lastPrinted>2021-01-14T20:48:23Z</cp:lastPrinted>
  <dcterms:created xsi:type="dcterms:W3CDTF">2014-04-02T00:25:24Z</dcterms:created>
  <dcterms:modified xsi:type="dcterms:W3CDTF">2026-03-05T10:05:52Z</dcterms:modified>
</cp:coreProperties>
</file>